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4DD4E136-C5FF-49D6-B026-6874425029A9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Portada" sheetId="1" r:id="rId1"/>
    <sheet name="Resultados" sheetId="2" r:id="rId2"/>
    <sheet name="Calculos" sheetId="3" r:id="rId3"/>
    <sheet name="Patrones" sheetId="4" r:id="rId4"/>
    <sheet name="CMC" sheetId="5" r:id="rId5"/>
    <sheet name="AG-ADM-F10-00" sheetId="6" r:id="rId6"/>
    <sheet name="BD_Clientes" sheetId="7" r:id="rId7"/>
  </sheets>
  <definedNames>
    <definedName name="_xlnm.Print_Area" localSheetId="0">Portada!$A1:$K71</definedName>
    <definedName name="_xlnm.Print_Area" localSheetId="1">Resultados!$A1:$K77</definedName>
    <definedName name="Cliente">'AG-ADM-F10-00'!$B$2:$B$72</definedName>
    <definedName name="Contacto">'AG-ADM-F10-00'!$D$2:$D$72</definedName>
    <definedName name="Correo">'AG-ADM-F10-00'!$E$2:$E$72</definedName>
    <definedName name="Domicilio">'AG-ADM-F10-00'!$C$2:$C$72</definedName>
    <definedName name="Nombre">'AG-ADM-F10-00'!$A$2:$A$72</definedName>
    <definedName name="Nominal">Patrones!$E$5:$E$16</definedName>
    <definedName name="Tel">'AG-ADM-F10-00'!$F$2:$F$72</definedName>
    <definedName name="Valores">Calculos!$N$13:$N$17</definedName>
    <definedName name="Valores1">Calculos!$M$13:$M$17</definedName>
    <definedName name="valores3">Calculos!$O$13:$O$17</definedName>
    <definedName name="Valoresss">Calculos!$M$11:$P$17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3" l="1"/>
  <c r="E15" i="1" s="1"/>
  <c r="E5" i="3"/>
  <c r="I15" i="1" s="1"/>
  <c r="B7" i="3"/>
  <c r="C15" i="1" s="1"/>
  <c r="B6" i="3"/>
  <c r="C14" i="1" s="1"/>
  <c r="B10" i="5"/>
  <c r="G10" i="5" s="1"/>
  <c r="J10" i="5" s="1"/>
  <c r="B3" i="5"/>
  <c r="H1" i="5"/>
  <c r="C7" i="5" s="1"/>
  <c r="G1" i="5"/>
  <c r="A54" i="4"/>
  <c r="A53" i="4"/>
  <c r="A52" i="4"/>
  <c r="E51" i="4"/>
  <c r="D51" i="4"/>
  <c r="C51" i="4"/>
  <c r="A51" i="4"/>
  <c r="E50" i="4"/>
  <c r="D50" i="4"/>
  <c r="C50" i="4"/>
  <c r="A50" i="4"/>
  <c r="D23" i="4"/>
  <c r="D7" i="4"/>
  <c r="Y54" i="3"/>
  <c r="W54" i="3"/>
  <c r="AA37" i="3" s="1"/>
  <c r="AB37" i="3" s="1"/>
  <c r="Y53" i="3"/>
  <c r="W53" i="3"/>
  <c r="AA36" i="3" s="1"/>
  <c r="AB36" i="3" s="1"/>
  <c r="Y52" i="3"/>
  <c r="W52" i="3"/>
  <c r="AA35" i="3" s="1"/>
  <c r="AB35" i="3" s="1"/>
  <c r="Y51" i="3"/>
  <c r="AA34" i="3" s="1"/>
  <c r="AB34" i="3" s="1"/>
  <c r="W51" i="3"/>
  <c r="Y50" i="3"/>
  <c r="W50" i="3"/>
  <c r="Y49" i="3"/>
  <c r="W49" i="3"/>
  <c r="Y48" i="3"/>
  <c r="W48" i="3"/>
  <c r="Y47" i="3"/>
  <c r="W47" i="3"/>
  <c r="AA30" i="3" s="1"/>
  <c r="AB30" i="3" s="1"/>
  <c r="Y46" i="3"/>
  <c r="W46" i="3"/>
  <c r="AA29" i="3" s="1"/>
  <c r="AB29" i="3" s="1"/>
  <c r="Y45" i="3"/>
  <c r="W45" i="3"/>
  <c r="AA28" i="3" s="1"/>
  <c r="AA38" i="3"/>
  <c r="AB38" i="3" s="1"/>
  <c r="X38" i="3"/>
  <c r="T38" i="3"/>
  <c r="U38" i="3" s="1"/>
  <c r="P38" i="3"/>
  <c r="S38" i="3" s="1"/>
  <c r="O38" i="3"/>
  <c r="Y38" i="3" s="1"/>
  <c r="Z38" i="3" s="1"/>
  <c r="N38" i="3"/>
  <c r="T37" i="3"/>
  <c r="U37" i="3" s="1"/>
  <c r="S37" i="3"/>
  <c r="I43" i="2" s="1"/>
  <c r="P37" i="3"/>
  <c r="F43" i="2" s="1"/>
  <c r="O37" i="3"/>
  <c r="Y37" i="3" s="1"/>
  <c r="Z37" i="3" s="1"/>
  <c r="N37" i="3"/>
  <c r="V36" i="3"/>
  <c r="W36" i="3" s="1"/>
  <c r="T36" i="3"/>
  <c r="U36" i="3" s="1"/>
  <c r="O36" i="3"/>
  <c r="Y36" i="3" s="1"/>
  <c r="Z36" i="3" s="1"/>
  <c r="N36" i="3"/>
  <c r="P36" i="3" s="1"/>
  <c r="Y35" i="3"/>
  <c r="Z35" i="3" s="1"/>
  <c r="X35" i="3"/>
  <c r="V35" i="3"/>
  <c r="W35" i="3" s="1"/>
  <c r="AC35" i="3" s="1"/>
  <c r="U35" i="3"/>
  <c r="T35" i="3"/>
  <c r="O35" i="3"/>
  <c r="N35" i="3"/>
  <c r="P35" i="3" s="1"/>
  <c r="Y34" i="3"/>
  <c r="Z34" i="3" s="1"/>
  <c r="X34" i="3"/>
  <c r="V34" i="3"/>
  <c r="W34" i="3" s="1"/>
  <c r="AC34" i="3" s="1"/>
  <c r="U34" i="3"/>
  <c r="AD34" i="3" s="1"/>
  <c r="AE34" i="3" s="1"/>
  <c r="G40" i="2" s="1"/>
  <c r="T34" i="3"/>
  <c r="P34" i="3"/>
  <c r="S34" i="3" s="1"/>
  <c r="I40" i="2" s="1"/>
  <c r="O34" i="3"/>
  <c r="N34" i="3"/>
  <c r="AA33" i="3"/>
  <c r="AB33" i="3" s="1"/>
  <c r="Z33" i="3"/>
  <c r="Y33" i="3"/>
  <c r="X33" i="3"/>
  <c r="W33" i="3"/>
  <c r="AC33" i="3" s="1"/>
  <c r="V33" i="3"/>
  <c r="T33" i="3"/>
  <c r="U33" i="3" s="1"/>
  <c r="AD33" i="3" s="1"/>
  <c r="AE33" i="3" s="1"/>
  <c r="G39" i="2" s="1"/>
  <c r="O33" i="3"/>
  <c r="N33" i="3"/>
  <c r="E39" i="2" s="1"/>
  <c r="AB32" i="3"/>
  <c r="AA32" i="3"/>
  <c r="Y32" i="3"/>
  <c r="Z32" i="3" s="1"/>
  <c r="T32" i="3"/>
  <c r="U32" i="3" s="1"/>
  <c r="O32" i="3"/>
  <c r="V32" i="3" s="1"/>
  <c r="W32" i="3" s="1"/>
  <c r="N32" i="3"/>
  <c r="E38" i="2" s="1"/>
  <c r="AA31" i="3"/>
  <c r="AB31" i="3" s="1"/>
  <c r="T31" i="3"/>
  <c r="U31" i="3" s="1"/>
  <c r="O31" i="3"/>
  <c r="D37" i="2" s="1"/>
  <c r="N31" i="3"/>
  <c r="P31" i="3" s="1"/>
  <c r="X30" i="3"/>
  <c r="T30" i="3"/>
  <c r="U30" i="3" s="1"/>
  <c r="O30" i="3"/>
  <c r="Y30" i="3" s="1"/>
  <c r="Z30" i="3" s="1"/>
  <c r="N30" i="3"/>
  <c r="P30" i="3" s="1"/>
  <c r="T29" i="3"/>
  <c r="U29" i="3" s="1"/>
  <c r="O29" i="3"/>
  <c r="P29" i="3" s="1"/>
  <c r="N29" i="3"/>
  <c r="V28" i="3"/>
  <c r="W28" i="3" s="1"/>
  <c r="T28" i="3"/>
  <c r="B7" i="5" s="1"/>
  <c r="G7" i="5" s="1"/>
  <c r="J7" i="5" s="1"/>
  <c r="Q28" i="3"/>
  <c r="H34" i="2" s="1"/>
  <c r="P28" i="3"/>
  <c r="O28" i="3"/>
  <c r="Y28" i="3" s="1"/>
  <c r="N28" i="3"/>
  <c r="M28" i="3"/>
  <c r="Z27" i="3"/>
  <c r="AC27" i="3" s="1"/>
  <c r="AD27" i="3" s="1"/>
  <c r="AE27" i="3" s="1"/>
  <c r="A27" i="3"/>
  <c r="B27" i="3" s="1"/>
  <c r="C27" i="3" s="1"/>
  <c r="D27" i="3" s="1"/>
  <c r="E27" i="3" s="1"/>
  <c r="F27" i="3" s="1"/>
  <c r="H27" i="3" s="1"/>
  <c r="I27" i="3" s="1"/>
  <c r="J27" i="3" s="1"/>
  <c r="K27" i="3" s="1"/>
  <c r="N27" i="3" s="1"/>
  <c r="I22" i="3"/>
  <c r="E24" i="2" s="1"/>
  <c r="G22" i="3"/>
  <c r="F22" i="3"/>
  <c r="D22" i="3"/>
  <c r="C22" i="3"/>
  <c r="H22" i="3" s="1"/>
  <c r="B22" i="3"/>
  <c r="G21" i="3"/>
  <c r="F21" i="3"/>
  <c r="I21" i="3" s="1"/>
  <c r="E23" i="2" s="1"/>
  <c r="D21" i="3"/>
  <c r="C21" i="3"/>
  <c r="H21" i="3" s="1"/>
  <c r="I20" i="3"/>
  <c r="G20" i="3"/>
  <c r="F20" i="3"/>
  <c r="D20" i="3"/>
  <c r="C20" i="3"/>
  <c r="H20" i="3" s="1"/>
  <c r="J12" i="3"/>
  <c r="X32" i="3" s="1"/>
  <c r="J11" i="3"/>
  <c r="E7" i="3"/>
  <c r="G15" i="1" s="1"/>
  <c r="S5" i="3"/>
  <c r="R5" i="3"/>
  <c r="Q5" i="3"/>
  <c r="P5" i="3"/>
  <c r="O5" i="3"/>
  <c r="N5" i="3"/>
  <c r="M5" i="3"/>
  <c r="S4" i="3"/>
  <c r="R4" i="3"/>
  <c r="Q4" i="3"/>
  <c r="P4" i="3"/>
  <c r="O4" i="3"/>
  <c r="N4" i="3"/>
  <c r="M4" i="3"/>
  <c r="B46" i="1" s="1"/>
  <c r="A4" i="3"/>
  <c r="C13" i="1" s="1"/>
  <c r="A76" i="2"/>
  <c r="J68" i="2"/>
  <c r="E43" i="2"/>
  <c r="E42" i="2"/>
  <c r="D42" i="2"/>
  <c r="D41" i="2"/>
  <c r="E40" i="2"/>
  <c r="D40" i="2"/>
  <c r="D39" i="2"/>
  <c r="D38" i="2"/>
  <c r="E37" i="2"/>
  <c r="E35" i="2"/>
  <c r="D35" i="2"/>
  <c r="F34" i="2"/>
  <c r="E34" i="2"/>
  <c r="D34" i="2"/>
  <c r="D33" i="2"/>
  <c r="E33" i="2" s="1"/>
  <c r="F33" i="2" s="1"/>
  <c r="G33" i="2" s="1"/>
  <c r="H33" i="2" s="1"/>
  <c r="E22" i="2"/>
  <c r="H10" i="2"/>
  <c r="C70" i="1"/>
  <c r="G55" i="1"/>
  <c r="A55" i="1"/>
  <c r="G52" i="1"/>
  <c r="A52" i="1"/>
  <c r="H47" i="1"/>
  <c r="G47" i="1"/>
  <c r="F47" i="1"/>
  <c r="E47" i="1"/>
  <c r="D47" i="1"/>
  <c r="J3" i="5" s="1"/>
  <c r="B47" i="1"/>
  <c r="I47" i="1" s="1"/>
  <c r="K46" i="1"/>
  <c r="I38" i="1"/>
  <c r="D38" i="1"/>
  <c r="I36" i="1"/>
  <c r="D4" i="5" s="1"/>
  <c r="D36" i="1"/>
  <c r="I34" i="1"/>
  <c r="B4" i="5" s="1"/>
  <c r="D34" i="1"/>
  <c r="D32" i="1"/>
  <c r="I26" i="1"/>
  <c r="H26" i="1"/>
  <c r="D26" i="1"/>
  <c r="C26" i="1"/>
  <c r="I24" i="1"/>
  <c r="H24" i="1"/>
  <c r="D24" i="1"/>
  <c r="C24" i="1"/>
  <c r="J22" i="1"/>
  <c r="I22" i="1"/>
  <c r="H22" i="1"/>
  <c r="D22" i="1"/>
  <c r="C22" i="1"/>
  <c r="I20" i="1"/>
  <c r="H20" i="1"/>
  <c r="D20" i="1"/>
  <c r="C20" i="1"/>
  <c r="H15" i="1"/>
  <c r="F15" i="1"/>
  <c r="D15" i="1"/>
  <c r="B15" i="1"/>
  <c r="B14" i="1"/>
  <c r="B13" i="1"/>
  <c r="I9" i="1"/>
  <c r="J10" i="2" s="1"/>
  <c r="F35" i="2" l="1"/>
  <c r="F24" i="2"/>
  <c r="J22" i="3"/>
  <c r="F41" i="2"/>
  <c r="L41" i="2" s="1"/>
  <c r="S35" i="3"/>
  <c r="I41" i="2" s="1"/>
  <c r="G46" i="1"/>
  <c r="F46" i="1"/>
  <c r="H46" i="1"/>
  <c r="E46" i="1"/>
  <c r="H2" i="5"/>
  <c r="D46" i="1"/>
  <c r="J2" i="5" s="1"/>
  <c r="I46" i="1"/>
  <c r="E48" i="1" s="1"/>
  <c r="AD35" i="3"/>
  <c r="AE35" i="3" s="1"/>
  <c r="G41" i="2" s="1"/>
  <c r="F36" i="2"/>
  <c r="F22" i="2"/>
  <c r="J20" i="3"/>
  <c r="AB28" i="3"/>
  <c r="B11" i="5"/>
  <c r="G11" i="5" s="1"/>
  <c r="J11" i="5" s="1"/>
  <c r="F42" i="2"/>
  <c r="S36" i="3"/>
  <c r="I42" i="2" s="1"/>
  <c r="C8" i="5"/>
  <c r="H7" i="5"/>
  <c r="F23" i="2"/>
  <c r="J21" i="3"/>
  <c r="P27" i="3"/>
  <c r="Q27" i="3" s="1"/>
  <c r="T27" i="3" s="1"/>
  <c r="U27" i="3" s="1"/>
  <c r="V27" i="3" s="1"/>
  <c r="W27" i="3" s="1"/>
  <c r="X27" i="3" s="1"/>
  <c r="O27" i="3"/>
  <c r="S31" i="3"/>
  <c r="I37" i="2" s="1"/>
  <c r="F37" i="2"/>
  <c r="B9" i="5"/>
  <c r="G9" i="5" s="1"/>
  <c r="J9" i="5" s="1"/>
  <c r="Z28" i="3"/>
  <c r="AC32" i="3"/>
  <c r="AD32" i="3" s="1"/>
  <c r="AE32" i="3" s="1"/>
  <c r="G38" i="2" s="1"/>
  <c r="Q29" i="3"/>
  <c r="U28" i="3"/>
  <c r="E21" i="2"/>
  <c r="F21" i="2" s="1"/>
  <c r="G21" i="2" s="1"/>
  <c r="F40" i="2"/>
  <c r="L40" i="2" s="1"/>
  <c r="AA27" i="3"/>
  <c r="AB27" i="3" s="1"/>
  <c r="X28" i="3"/>
  <c r="AC28" i="3" s="1"/>
  <c r="V29" i="3"/>
  <c r="P32" i="3"/>
  <c r="X36" i="3"/>
  <c r="AC36" i="3" s="1"/>
  <c r="AD36" i="3" s="1"/>
  <c r="AE36" i="3" s="1"/>
  <c r="G42" i="2" s="1"/>
  <c r="V37" i="3"/>
  <c r="W37" i="3" s="1"/>
  <c r="AC37" i="3" s="1"/>
  <c r="AD37" i="3" s="1"/>
  <c r="AE37" i="3" s="1"/>
  <c r="G43" i="2" s="1"/>
  <c r="L43" i="2" s="1"/>
  <c r="D36" i="2"/>
  <c r="E36" i="2"/>
  <c r="D43" i="2"/>
  <c r="X29" i="3"/>
  <c r="V30" i="3"/>
  <c r="W30" i="3" s="1"/>
  <c r="AC30" i="3" s="1"/>
  <c r="AD30" i="3" s="1"/>
  <c r="AE30" i="3" s="1"/>
  <c r="P33" i="3"/>
  <c r="X37" i="3"/>
  <c r="V38" i="3"/>
  <c r="W38" i="3" s="1"/>
  <c r="AC38" i="3" s="1"/>
  <c r="AD38" i="3" s="1"/>
  <c r="AE38" i="3" s="1"/>
  <c r="Y29" i="3"/>
  <c r="Z29" i="3" s="1"/>
  <c r="H3" i="5"/>
  <c r="R28" i="3"/>
  <c r="V31" i="3"/>
  <c r="W31" i="3" s="1"/>
  <c r="E41" i="2"/>
  <c r="X31" i="3"/>
  <c r="Y31" i="3"/>
  <c r="Z31" i="3" s="1"/>
  <c r="G36" i="2" l="1"/>
  <c r="G22" i="2"/>
  <c r="L36" i="2"/>
  <c r="L37" i="2"/>
  <c r="C9" i="5"/>
  <c r="H8" i="5"/>
  <c r="G24" i="2"/>
  <c r="S32" i="3"/>
  <c r="I38" i="2" s="1"/>
  <c r="F38" i="2"/>
  <c r="L38" i="2" s="1"/>
  <c r="AC31" i="3"/>
  <c r="AD31" i="3" s="1"/>
  <c r="AE31" i="3" s="1"/>
  <c r="G37" i="2" s="1"/>
  <c r="AD28" i="3"/>
  <c r="AE28" i="3" s="1"/>
  <c r="W29" i="3"/>
  <c r="AC29" i="3" s="1"/>
  <c r="AD29" i="3" s="1"/>
  <c r="AE29" i="3" s="1"/>
  <c r="B8" i="5"/>
  <c r="G8" i="5" s="1"/>
  <c r="J8" i="5" s="1"/>
  <c r="Q30" i="3"/>
  <c r="H35" i="2"/>
  <c r="L42" i="2"/>
  <c r="G23" i="2"/>
  <c r="F39" i="2"/>
  <c r="L39" i="2" s="1"/>
  <c r="S33" i="3"/>
  <c r="I39" i="2" s="1"/>
  <c r="R29" i="3"/>
  <c r="H36" i="2" l="1"/>
  <c r="Q31" i="3"/>
  <c r="R30" i="3"/>
  <c r="K20" i="3"/>
  <c r="H22" i="2" s="1"/>
  <c r="H9" i="5"/>
  <c r="C10" i="5"/>
  <c r="J16" i="5"/>
  <c r="G35" i="2"/>
  <c r="L35" i="2" s="1"/>
  <c r="S29" i="3"/>
  <c r="I35" i="2" s="1"/>
  <c r="G34" i="2"/>
  <c r="L34" i="2" s="1"/>
  <c r="S28" i="3"/>
  <c r="I34" i="2" s="1"/>
  <c r="I46" i="2" s="1"/>
  <c r="E68" i="2" s="1"/>
  <c r="S30" i="3"/>
  <c r="I36" i="2" s="1"/>
  <c r="J18" i="5" l="1"/>
  <c r="J19" i="5" s="1"/>
  <c r="K1" i="5" s="1"/>
  <c r="K10" i="5"/>
  <c r="K7" i="5"/>
  <c r="K9" i="5"/>
  <c r="K11" i="5"/>
  <c r="C11" i="5"/>
  <c r="H11" i="5" s="1"/>
  <c r="H10" i="5"/>
  <c r="H37" i="2"/>
  <c r="Q32" i="3"/>
  <c r="R31" i="3"/>
  <c r="K21" i="3"/>
  <c r="H23" i="2" s="1"/>
  <c r="K8" i="5"/>
  <c r="K16" i="5" l="1"/>
  <c r="Q33" i="3"/>
  <c r="H38" i="2"/>
  <c r="K22" i="3"/>
  <c r="H24" i="2" s="1"/>
  <c r="R32" i="3"/>
  <c r="Q34" i="3" l="1"/>
  <c r="H39" i="2"/>
  <c r="R33" i="3"/>
  <c r="Q35" i="3" l="1"/>
  <c r="H40" i="2"/>
  <c r="R34" i="3"/>
  <c r="H41" i="2" l="1"/>
  <c r="Q36" i="3"/>
  <c r="R35" i="3"/>
  <c r="H42" i="2" l="1"/>
  <c r="Q37" i="3"/>
  <c r="R36" i="3"/>
  <c r="Q38" i="3" l="1"/>
  <c r="R38" i="3" s="1"/>
  <c r="H43" i="2"/>
  <c r="R3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3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ID#AAABIXjlXrk
Usuario    (2024-04-26 22:47:20)
JECG: Modificar fuente de acuerdo a valores ;).</t>
        </r>
      </text>
    </comment>
    <comment ref="E3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ID#AAABMieQ-PM
Usuario    (2024-04-26 22:47:19)
JECG: Modificar fuente de acuerdo a valores ;).</t>
        </r>
      </text>
    </comment>
    <comment ref="F3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ID#AAABIXUoWPw
Usuario    (2024-04-26 22:47:19)
JECG: Modificar fuente de acuerdo a valores ;).</t>
        </r>
      </text>
    </comment>
    <comment ref="G3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======
ID#AAABIXjlXrA
Usuario    (2024-04-26 22:47:20)
JECG: Modificar fuente de acuerdo a valores ;).</t>
        </r>
      </text>
    </comment>
    <comment ref="H3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======
ID#AAABMieQ-O0
Usuario    (2024-04-26 22:47:19)
JECG: Modificar fuente de acuerdo a valores ;).</t>
        </r>
      </text>
    </comment>
    <comment ref="I3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======
ID#AAABIXjlXro
Usuario    (2024-04-26 22:47:20)
JECG: Modificar fuente de acuerdo a valores ;).</t>
        </r>
      </text>
    </comment>
    <comment ref="E3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======
ID#AAABIXUoWPY
Usuario    (2024-04-26 22:47:19)
JECG: Modificar fuente de acuerdo a valores ;).</t>
        </r>
      </text>
    </comment>
    <comment ref="F35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======
ID#AAABIXjlXr0
Usuario    (2024-04-26 22:47:20)
JECG: Modificar fuente de acuerdo a valores ;).</t>
        </r>
      </text>
    </comment>
    <comment ref="G3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======
ID#AAABIXjlXrs
Usuario    (2024-04-26 22:47:20)
JECG: Modificar fuente de acuerdo a valores ;).</t>
        </r>
      </text>
    </comment>
    <comment ref="H35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======
ID#AAABMieQ-Ow
Usuario    (2024-04-26 22:47:19)
JECG: Modificar fuente de acuerdo a valores ;).</t>
        </r>
      </text>
    </comment>
    <comment ref="I35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======
ID#AAABIXjlXrc
Usuario    (2024-04-26 22:47:20)
JECG: Modificar fuente de acuerdo a valores ;).</t>
        </r>
      </text>
    </comment>
    <comment ref="E36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======
ID#AAABIXjlXrI
Usuario    (2024-04-26 22:47:20)
JECG: Modificar fuente de acuerdo a valores ;).</t>
        </r>
      </text>
    </comment>
    <comment ref="F36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======
ID#AAABIXjlXq8
Usuario    (2024-04-26 22:47:20)
JECG: Modificar fuente de acuerdo a valores ;).</t>
        </r>
      </text>
    </comment>
    <comment ref="G36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======
ID#AAABIXjlXrQ
Usuario    (2024-04-26 22:47:20)
JECG: Modificar fuente de acuerdo a valores ;).</t>
        </r>
      </text>
    </comment>
    <comment ref="H36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======
ID#AAABIXUoWP4
Usuario    (2024-04-26 22:47:19)
JECG: Modificar fuente de acuerdo a valores ;).</t>
        </r>
      </text>
    </comment>
    <comment ref="I36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======
ID#AAABIXjlXsM
Usuario    (2024-04-26 22:47:20)
JECG: Modificar fuente de acuerdo a valores ;).</t>
        </r>
      </text>
    </comment>
    <comment ref="E37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======
ID#AAABIXjlXr4
Usuario    (2024-04-26 22:47:20)
JECG: Modificar fuente de acuerdo a valores ;).</t>
        </r>
      </text>
    </comment>
    <comment ref="F37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======
ID#AAABMieQ-PI
Usuario    (2024-04-26 22:47:19)
JECG: Modificar fuente de acuerdo a valores ;).</t>
        </r>
      </text>
    </comment>
    <comment ref="G37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======
ID#AAABIXjlXsY
Usuario    (2024-04-26 22:47:20)
JECG: Modificar fuente de acuerdo a valores ;).</t>
        </r>
      </text>
    </comment>
    <comment ref="H37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======
ID#AAABMieQ-Po
Usuario    (2024-04-26 22:47:19)
JECG: Modificar fuente de acuerdo a valores ;).</t>
        </r>
      </text>
    </comment>
    <comment ref="I37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======
ID#AAABIXjlXrE
Usuario    (2024-04-26 22:47:20)
JECG: Modificar fuente de acuerdo a valores ;).</t>
        </r>
      </text>
    </comment>
    <comment ref="E38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======
ID#AAABIXjlXq4
Usuario    (2024-04-26 22:47:20)
JECG: Modificar fuente de acuerdo a valores ;).</t>
        </r>
      </text>
    </comment>
    <comment ref="F38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======
ID#AAABMieQ-PQ
Usuario    (2024-04-26 22:47:19)
JECG: Modificar fuente de acuerdo a valores ;).</t>
        </r>
      </text>
    </comment>
    <comment ref="G38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======
ID#AAABIXjlXrU
Usuario    (2024-04-26 22:47:20)
JECG: Modificar fuente de acuerdo a valores ;).</t>
        </r>
      </text>
    </comment>
    <comment ref="H38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======
ID#AAABIXjlXsc
Usuario    (2024-04-26 22:47:20)
JECG: Modificar fuente de acuerdo a valores ;).</t>
        </r>
      </text>
    </comment>
    <comment ref="I38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======
ID#AAABMieQ-PE
Usuario    (2024-04-26 22:47:19)
JECG: Modificar fuente de acuerdo a valores ;).</t>
        </r>
      </text>
    </comment>
    <comment ref="E39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======
ID#AAABMieQ-Pc
Usuario    (2024-04-26 22:47:19)
JECG: Modificar fuente de acuerdo a valores ;).</t>
        </r>
      </text>
    </comment>
    <comment ref="F39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======
ID#AAABIXUoWPg
Usuario    (2024-04-26 22:47:19)
JECG: Modificar fuente de acuerdo a valores ;).</t>
        </r>
      </text>
    </comment>
    <comment ref="G39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======
ID#AAABIXUoWPQ
Usuario    (2024-04-26 22:47:19)
JECG: Modificar fuente de acuerdo a valores ;).</t>
        </r>
      </text>
    </comment>
    <comment ref="H39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======
ID#AAABIXUoWPc
Usuario    (2024-04-26 22:47:19)
JECG: Modificar fuente de acuerdo a valores ;).</t>
        </r>
      </text>
    </comment>
    <comment ref="I39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======
ID#AAABMieQ-Os
Usuario    (2024-04-26 22:47:19)
JECG: Modificar fuente de acuerdo a valores ;).</t>
        </r>
      </text>
    </comment>
    <comment ref="E40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======
ID#AAABIXUoWP0
Usuario    (2024-04-26 22:47:19)
JECG: Modificar fuente de acuerdo a valores ;).</t>
        </r>
      </text>
    </comment>
    <comment ref="F40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======
ID#AAABIXUoWPo
Usuario    (2024-04-26 22:47:19)
JECG: Modificar fuente de acuerdo a valores ;).</t>
        </r>
      </text>
    </comment>
    <comment ref="G40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======
ID#AAABMieQ-O8
Usuario    (2024-04-26 22:47:19)
JECG: Modificar fuente de acuerdo a valores ;).</t>
        </r>
      </text>
    </comment>
    <comment ref="H40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======
ID#AAABIXjlXq0
Usuario    (2024-04-26 22:47:20)
JECG: Modificar fuente de acuerdo a valores ;).</t>
        </r>
      </text>
    </comment>
    <comment ref="I40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======
ID#AAABMieQ-O4
Usuario    (2024-04-26 22:47:19)
JECG: Modificar fuente de acuerdo a valores ;).</t>
        </r>
      </text>
    </comment>
    <comment ref="E41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======
ID#AAABIXjlXrg
Usuario    (2024-04-26 22:47:20)
JECG: Modificar fuente de acuerdo a valores ;).</t>
        </r>
      </text>
    </comment>
    <comment ref="F41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======
ID#AAABIXjlXsE
Usuario    (2024-04-26 22:47:20)
JECG: Modificar fuente de acuerdo a valores ;).</t>
        </r>
      </text>
    </comment>
    <comment ref="G41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======
ID#AAABIXUoWPs
Usuario    (2024-04-26 22:47:19)
JECG: Modificar fuente de acuerdo a valores ;).</t>
        </r>
      </text>
    </comment>
    <comment ref="H41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======
ID#AAABIXjlXsQ
Usuario    (2024-04-26 22:47:20)
JECG: Modificar fuente de acuerdo a valores ;).</t>
        </r>
      </text>
    </comment>
    <comment ref="I41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======
ID#AAABIXUoWPM
Usuario    (2024-04-26 22:47:19)
JECG: Modificar fuente de acuerdo a valores ;).</t>
        </r>
      </text>
    </comment>
    <comment ref="E42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======
ID#AAABMieQ-PU
Usuario    (2024-04-26 22:47:19)
JECG: Modificar fuente de acuerdo a valores ;).</t>
        </r>
      </text>
    </comment>
    <comment ref="F42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======
ID#AAABIXjlXsA
Usuario    (2024-04-26 22:47:20)
JECG: Modificar fuente de acuerdo a valores ;).</t>
        </r>
      </text>
    </comment>
    <comment ref="G42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======
ID#AAABIXjlXr8
Usuario    (2024-04-26 22:47:20)
JECG: Modificar fuente de acuerdo a valores ;).</t>
        </r>
      </text>
    </comment>
    <comment ref="H42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======
ID#AAABIXjlXrY
Usuario    (2024-04-26 22:47:20)
JECG: Modificar fuente de acuerdo a valores ;).</t>
        </r>
      </text>
    </comment>
    <comment ref="I42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======
ID#AAABIXUoWPI
Usuario    (2024-04-26 22:47:19)
JECG: Modificar fuente de acuerdo a valores ;).</t>
        </r>
      </text>
    </comment>
    <comment ref="E43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======
ID#AAABIXjlXsU
Usuario    (2024-04-26 22:47:20)
JECG: Modificar fuente de acuerdo a valores ;).</t>
        </r>
      </text>
    </comment>
    <comment ref="F43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======
ID#AAABIXUoWPk
Usuario    (2024-04-26 22:47:19)
JECG: Modificar fuente de acuerdo a valores ;).</t>
        </r>
      </text>
    </comment>
    <comment ref="G43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======
ID#AAABIXjlXrw
Usuario    (2024-04-26 22:47:20)
JECG: Modificar fuente de acuerdo a valores ;).</t>
        </r>
      </text>
    </comment>
    <comment ref="H43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======
ID#AAABIXjlXsI
Usuario    (2024-04-26 22:47:20)
JECG: Modificar fuente de acuerdo a valores ;).</t>
        </r>
      </text>
    </comment>
    <comment ref="I43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======
ID#AAABIXjlXrM
Usuario    (2024-04-26 22:47:20)
JECG: Modificar fuente de acuerdo a valores ;).</t>
        </r>
      </text>
    </comment>
    <comment ref="A62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======
ID#AAABMieQ-PA
JECG    (2024-04-26 22:47:19)
Observaciones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1" authorId="0" shapeId="0" xr:uid="{00000000-0006-0000-0200-000001000000}">
      <text>
        <r>
          <rPr>
            <b/>
            <sz val="11"/>
            <color indexed="81"/>
            <rFont val="Tahoma"/>
            <family val="2"/>
          </rPr>
          <t>CAMBIAR A NO. DE PLAN SEGÚN CLIENTE</t>
        </r>
      </text>
    </comment>
    <comment ref="J1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ID#AAABMieQ-Pk
JECG    (2024-04-26 22:47:19)
APLICA:
 Analogos = Norma.
(No se modifica EMP)
Digitales = Fabricante.
(Se modifica EMP)</t>
        </r>
      </text>
    </comment>
    <comment ref="B1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======
ID#AAABIXUoWPU
JECG    (2024-04-26 22:47:19)
Analogo: Instertar"1"
Digital: Insertar"2"</t>
        </r>
      </text>
    </comment>
    <comment ref="F1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======
ID#AAABMieQ-Pg
JECG    (2024-04-26 22:47:19)
NORMA
FABRICANTE
CLIENTE</t>
        </r>
      </text>
    </comment>
    <comment ref="X25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======
ID#AAABMieQ-PY
EQUIPOS Y SERV. AG    (2024-04-26 22:47:19)
Campo:
 Analogo o Digital</t>
        </r>
      </text>
    </comment>
  </commentList>
</comments>
</file>

<file path=xl/sharedStrings.xml><?xml version="1.0" encoding="utf-8"?>
<sst xmlns="http://schemas.openxmlformats.org/spreadsheetml/2006/main" count="1793" uniqueCount="1097">
  <si>
    <t>JECG</t>
  </si>
  <si>
    <t xml:space="preserve"> </t>
  </si>
  <si>
    <t>CERTIFICADO DE CALIBRACIÓN</t>
  </si>
  <si>
    <t>Hoja:   1</t>
  </si>
  <si>
    <t>de   2</t>
  </si>
  <si>
    <t xml:space="preserve">No. De Certificado: </t>
  </si>
  <si>
    <t>Datos del Cliente/ Client Data</t>
  </si>
  <si>
    <t>Datos del Instrumento/ Instrument Data</t>
  </si>
  <si>
    <t>Datos Generales/General Data</t>
  </si>
  <si>
    <t>Fecha de Recepción:</t>
  </si>
  <si>
    <t>Procedimiento de Calibración:</t>
  </si>
  <si>
    <t>PR-AG-CAL-03-00</t>
  </si>
  <si>
    <t>(Procedimiento interno)</t>
  </si>
  <si>
    <t>Fecha de Calibración:</t>
  </si>
  <si>
    <t>Temperatura:</t>
  </si>
  <si>
    <t>Fecha Sugerida:</t>
  </si>
  <si>
    <t>Humedad Relativa:</t>
  </si>
  <si>
    <t>Fecha de Elaboración:</t>
  </si>
  <si>
    <t>Lugar de Calibración:</t>
  </si>
  <si>
    <t>Trazabilidad:</t>
  </si>
  <si>
    <t>Vía CENAM</t>
  </si>
  <si>
    <t>Documento de Referencia:</t>
  </si>
  <si>
    <t>NOM-013-SCFI</t>
  </si>
  <si>
    <t>Método de calibración:</t>
  </si>
  <si>
    <t>Comparación directa</t>
  </si>
  <si>
    <t>Datos del Patrón Utilizado</t>
  </si>
  <si>
    <t>Patrón</t>
  </si>
  <si>
    <t>ID</t>
  </si>
  <si>
    <t>No. De Certificado</t>
  </si>
  <si>
    <t>Marca</t>
  </si>
  <si>
    <t>Modelo</t>
  </si>
  <si>
    <t>No. De Serie</t>
  </si>
  <si>
    <t>Vigencia</t>
  </si>
  <si>
    <t>Metrología</t>
  </si>
  <si>
    <t>Calidad</t>
  </si>
  <si>
    <t>* Los resultados disponibles en este documento corresponden unicamente al instrumento descrito y encontrado al momento de la calibración.</t>
  </si>
  <si>
    <t>*Los resultados expresados en este certificado corresponden al promedio de una serie de mediciones.</t>
  </si>
  <si>
    <t>* Los patrones utilizados cuentan con trazabilidad a los patrones nacionales mantenidos por CENAM/NIST u otra Organización equivalente.</t>
  </si>
  <si>
    <t>* Los resultados de medición son trazables al Sistema Internacional de Unidades (SI).</t>
  </si>
  <si>
    <t>* La incertidumbre calculada es de acuerdo a la GUM para la expresión de incertidumbre de medición, con un nivel de confianza del 95% con un factor de cobertura de k=2.</t>
  </si>
  <si>
    <t>(Guide to the Expression of Uncertainty in Measurement-1995)</t>
  </si>
  <si>
    <t>* La reproducción de éste certificado solo puede ser en forma total y con autorización previa del laboratorio.</t>
  </si>
  <si>
    <t xml:space="preserve">*Es responsabilidad del usuario establecer la fecha de una nueva calibración. </t>
  </si>
  <si>
    <t>*El tiempo de validez de los resultados depende tanto de las caracteristicas del instrumento como de las practicas de uso y manejo.</t>
  </si>
  <si>
    <t>AG-CER-CAL-C01-01</t>
  </si>
  <si>
    <t>&lt;</t>
  </si>
  <si>
    <t>HIGHWAY TRUCKS SAPI DE CV</t>
  </si>
  <si>
    <t>Hoja:   2</t>
  </si>
  <si>
    <t>RESULTADOS DE LA CALIBRACIÓN</t>
  </si>
  <si>
    <t>Inspección inicial</t>
  </si>
  <si>
    <t xml:space="preserve">Patrón  </t>
  </si>
  <si>
    <t>Instrumento</t>
  </si>
  <si>
    <t>Error</t>
  </si>
  <si>
    <t>Resultado</t>
  </si>
  <si>
    <t>Error Instrumental</t>
  </si>
  <si>
    <t xml:space="preserve">Incertidumbre Expandida (±)     </t>
  </si>
  <si>
    <t xml:space="preserve">*EMP (±)  </t>
  </si>
  <si>
    <t>**Resultado</t>
  </si>
  <si>
    <t>Nota: El instrumento ha sido calibrado y es apto para su uso.</t>
  </si>
  <si>
    <r>
      <rPr>
        <sz val="11"/>
        <color theme="1"/>
        <rFont val="Overlock"/>
      </rPr>
      <t xml:space="preserve">   *</t>
    </r>
    <r>
      <rPr>
        <b/>
        <sz val="11"/>
        <color theme="1"/>
        <rFont val="Maiandra GD"/>
        <family val="2"/>
      </rPr>
      <t>EMP</t>
    </r>
    <r>
      <rPr>
        <sz val="11"/>
        <color theme="1"/>
        <rFont val="Maiandra GD"/>
        <family val="2"/>
      </rPr>
      <t>: Error Máximo Permisible.</t>
    </r>
  </si>
  <si>
    <t xml:space="preserve"> **En caso de que el instrumento presente lecturas superiores al Error Máximo Permisible se reportará como 'RECHAZADO' en columna de 'Resultado'.</t>
  </si>
  <si>
    <r>
      <t xml:space="preserve">      La columna de "Resultado" representa la suma del error instrumental </t>
    </r>
    <r>
      <rPr>
        <sz val="11"/>
        <color theme="1"/>
        <rFont val="Calibri"/>
        <family val="2"/>
      </rPr>
      <t>±</t>
    </r>
    <r>
      <rPr>
        <sz val="11"/>
        <color theme="1"/>
        <rFont val="Overlock"/>
      </rPr>
      <t xml:space="preserve"> la incertidumbre expandida.</t>
    </r>
  </si>
  <si>
    <t>Dictamen:</t>
  </si>
  <si>
    <t>El instrumento</t>
  </si>
  <si>
    <t>con las especificaciones de</t>
  </si>
  <si>
    <t>Fin del certificado.</t>
  </si>
  <si>
    <t>Este certificado no puede ser modificado en forma total o parcial sin la autorización previa de Equipos y Servicios Especializados AG, S.A. de C.V. y solo tiene válidez en su presentación original.</t>
  </si>
  <si>
    <t>Hoja de Calculos</t>
  </si>
  <si>
    <t>Patrones</t>
  </si>
  <si>
    <t># Certificado</t>
  </si>
  <si>
    <t>Serie</t>
  </si>
  <si>
    <t>****No de Certificado:</t>
  </si>
  <si>
    <t>Servicio en Sitio</t>
  </si>
  <si>
    <t>CLIENTE</t>
  </si>
  <si>
    <t>Cliente:</t>
  </si>
  <si>
    <t>TECHOPS</t>
  </si>
  <si>
    <t>Correo:</t>
  </si>
  <si>
    <t>NORMA</t>
  </si>
  <si>
    <t>Domicilio:</t>
  </si>
  <si>
    <t>Tel:</t>
  </si>
  <si>
    <t>Fecha sugerida:</t>
  </si>
  <si>
    <t>FABRICANTE</t>
  </si>
  <si>
    <t>Contacto:</t>
  </si>
  <si>
    <t>Ext:</t>
  </si>
  <si>
    <t>No. De Parte:</t>
  </si>
  <si>
    <t>Modelo:</t>
  </si>
  <si>
    <t>Viridiana Moreno</t>
  </si>
  <si>
    <t>Instrumento:</t>
  </si>
  <si>
    <t>ID:</t>
  </si>
  <si>
    <t>División minima:</t>
  </si>
  <si>
    <t>Calibró</t>
  </si>
  <si>
    <t>Aprobó</t>
  </si>
  <si>
    <t>Marca:</t>
  </si>
  <si>
    <t>Alcance de Medición:</t>
  </si>
  <si>
    <t>Unidad:</t>
  </si>
  <si>
    <t>psi</t>
  </si>
  <si>
    <t>-8 Valores para clases de exactitud .2; .25; .4; .5; .6</t>
  </si>
  <si>
    <t>Magnitud:</t>
  </si>
  <si>
    <t>Presión</t>
  </si>
  <si>
    <t>Clase de Exactitud:</t>
  </si>
  <si>
    <t>-5 Valores para clases de exactitud 1; 1.6; 2; 2.5</t>
  </si>
  <si>
    <t>No de Serie:</t>
  </si>
  <si>
    <t>Ubicación</t>
  </si>
  <si>
    <t>N/A</t>
  </si>
  <si>
    <t>Resolución:</t>
  </si>
  <si>
    <t>-3 Valores para clases de exactitud 4 y 5</t>
  </si>
  <si>
    <t>TIPO:</t>
  </si>
  <si>
    <t>Temperatura I  °C:</t>
  </si>
  <si>
    <t>Temperatura F  °C:</t>
  </si>
  <si>
    <t>Lugar donde se calibró:</t>
  </si>
  <si>
    <t>Instalaciones de Cliente</t>
  </si>
  <si>
    <t>Humedad Relativa I %:</t>
  </si>
  <si>
    <t>Humedad Relativa F  %:</t>
  </si>
  <si>
    <t>*****************EMP de acuerdo a:</t>
  </si>
  <si>
    <t>Inspección Inicial</t>
  </si>
  <si>
    <t>Lecturas del Instrumento</t>
  </si>
  <si>
    <t>Lecturas del Patrón</t>
  </si>
  <si>
    <t>Reglas de decision</t>
  </si>
  <si>
    <t>Carga Aprox.</t>
  </si>
  <si>
    <t>V. Deseado</t>
  </si>
  <si>
    <t>X1Ascendente(+)</t>
  </si>
  <si>
    <t>X1Descendente(-)</t>
  </si>
  <si>
    <t>X1 A (+)</t>
  </si>
  <si>
    <t>X1 D (-)</t>
  </si>
  <si>
    <t>Promedio del IBC</t>
  </si>
  <si>
    <t>Promedio del Patrón</t>
  </si>
  <si>
    <t>Error Absoluto</t>
  </si>
  <si>
    <t>Dictamen</t>
  </si>
  <si>
    <t>Cálculos de incertidumbre</t>
  </si>
  <si>
    <t>Promedio</t>
  </si>
  <si>
    <t>Error Absoluto de medición</t>
  </si>
  <si>
    <t>EMP</t>
  </si>
  <si>
    <t>errVsEMP</t>
  </si>
  <si>
    <t>err+UE vs EMP</t>
  </si>
  <si>
    <t>desv</t>
  </si>
  <si>
    <t>u</t>
  </si>
  <si>
    <t xml:space="preserve">u </t>
  </si>
  <si>
    <t>U</t>
  </si>
  <si>
    <t xml:space="preserve">V. Deseado </t>
  </si>
  <si>
    <t>V. Generado</t>
  </si>
  <si>
    <t>X2Ascendente(+)</t>
  </si>
  <si>
    <t>X2Descendente(-)</t>
  </si>
  <si>
    <t>X1 Ascendente (+)</t>
  </si>
  <si>
    <t>X1 Descendente (-)</t>
  </si>
  <si>
    <t>X2 Ascendente (+)</t>
  </si>
  <si>
    <t>X2 Descendente (-)</t>
  </si>
  <si>
    <t>IBC</t>
  </si>
  <si>
    <t>est</t>
  </si>
  <si>
    <t>rep</t>
  </si>
  <si>
    <t>patK2</t>
  </si>
  <si>
    <t>patK1</t>
  </si>
  <si>
    <t>resoIBC</t>
  </si>
  <si>
    <t>errPatK2</t>
  </si>
  <si>
    <t>errPatK1</t>
  </si>
  <si>
    <t>HistK2</t>
  </si>
  <si>
    <t>HistK1</t>
  </si>
  <si>
    <t>tipo B</t>
  </si>
  <si>
    <t>comb</t>
  </si>
  <si>
    <t>E</t>
  </si>
  <si>
    <t>x</t>
  </si>
  <si>
    <t>Ascendente</t>
  </si>
  <si>
    <t>Descendente</t>
  </si>
  <si>
    <t>Manómetro Digital</t>
  </si>
  <si>
    <t>AG-008</t>
  </si>
  <si>
    <t>Resultados en psi</t>
  </si>
  <si>
    <t>Omega</t>
  </si>
  <si>
    <t>No. Certif:</t>
  </si>
  <si>
    <t>1-24842</t>
  </si>
  <si>
    <t>Nominal</t>
  </si>
  <si>
    <t>Incertidumbre±</t>
  </si>
  <si>
    <r>
      <rPr>
        <sz val="11"/>
        <color theme="1"/>
        <rFont val="Quattrocento Sans"/>
        <family val="2"/>
      </rPr>
      <t>EMP</t>
    </r>
    <r>
      <rPr>
        <sz val="11"/>
        <color theme="1"/>
        <rFont val="Calibri"/>
        <family val="2"/>
      </rPr>
      <t>±</t>
    </r>
  </si>
  <si>
    <t>DPG-4000-10K</t>
  </si>
  <si>
    <t>Fecha Cal:</t>
  </si>
  <si>
    <t>No. De Serie:</t>
  </si>
  <si>
    <t>Vigencia:</t>
  </si>
  <si>
    <t xml:space="preserve">Intérvalo alcance: </t>
  </si>
  <si>
    <t>10000 psi</t>
  </si>
  <si>
    <t>AG-052</t>
  </si>
  <si>
    <t>Druck</t>
  </si>
  <si>
    <t>1-23207</t>
  </si>
  <si>
    <t>DPI104</t>
  </si>
  <si>
    <t>750 psi</t>
  </si>
  <si>
    <t>|</t>
  </si>
  <si>
    <t>Conversiones</t>
  </si>
  <si>
    <t>Pa</t>
  </si>
  <si>
    <t>Mpa</t>
  </si>
  <si>
    <t>kPa</t>
  </si>
  <si>
    <t>Hpa</t>
  </si>
  <si>
    <t>inHg</t>
  </si>
  <si>
    <t>bar</t>
  </si>
  <si>
    <t>mbar</t>
  </si>
  <si>
    <t>inH2O 20 °C</t>
  </si>
  <si>
    <t xml:space="preserve">Presupuesto de incertidumbre de la medición </t>
  </si>
  <si>
    <t>Intervalo o tamaño nominal:</t>
  </si>
  <si>
    <t>Capacidad de Medición y Calibración (CMC):</t>
  </si>
  <si>
    <t>Campo de calibración:</t>
  </si>
  <si>
    <t xml:space="preserve">Presión </t>
  </si>
  <si>
    <t>Instrumento(s): patrón:</t>
  </si>
  <si>
    <t>Instrumento, Cantidad o Indicador:</t>
  </si>
  <si>
    <t>Condiciones Ambientales:</t>
  </si>
  <si>
    <t>Magnitud</t>
  </si>
  <si>
    <t>Incertidumbre</t>
  </si>
  <si>
    <t>Coeficientes de                                                                                                                                   Sensibildad</t>
  </si>
  <si>
    <t>Contribución</t>
  </si>
  <si>
    <t>Incertidumbre Asociada</t>
  </si>
  <si>
    <t xml:space="preserve">Fuente de contribución </t>
  </si>
  <si>
    <t xml:space="preserve">Valor  </t>
  </si>
  <si>
    <t>Unidad en</t>
  </si>
  <si>
    <t>Tipo</t>
  </si>
  <si>
    <t>Fuente</t>
  </si>
  <si>
    <t>Distribución</t>
  </si>
  <si>
    <t>Valor de Incertidumbre estándar</t>
  </si>
  <si>
    <t>Unidades en</t>
  </si>
  <si>
    <t>Porcentaje                                                                                                                                        de Impacto</t>
  </si>
  <si>
    <t xml:space="preserve"> Repetibilidad de las mediciones</t>
  </si>
  <si>
    <t>A</t>
  </si>
  <si>
    <t>Normal</t>
  </si>
  <si>
    <t xml:space="preserve">Calibración de  Patrón K=2 </t>
  </si>
  <si>
    <t>B</t>
  </si>
  <si>
    <t xml:space="preserve"> Error calibracion patron </t>
  </si>
  <si>
    <t>Rectangular</t>
  </si>
  <si>
    <t xml:space="preserve"> Resolución Instrumento</t>
  </si>
  <si>
    <t>Histeresis</t>
  </si>
  <si>
    <t>Incertidumbre  Combinanda</t>
  </si>
  <si>
    <r>
      <rPr>
        <b/>
        <sz val="25"/>
        <color theme="1"/>
        <rFont val="Calibri"/>
        <family val="2"/>
      </rPr>
      <t>Factor de cobertura                                                     (</t>
    </r>
    <r>
      <rPr>
        <b/>
        <sz val="25"/>
        <color theme="1"/>
        <rFont val="Symbol"/>
        <family val="1"/>
        <charset val="2"/>
      </rPr>
      <t xml:space="preserve"> r</t>
    </r>
    <r>
      <rPr>
        <b/>
        <sz val="25"/>
        <color theme="1"/>
        <rFont val="Calibri"/>
        <family val="2"/>
      </rPr>
      <t xml:space="preserve"> = 95,45 % )</t>
    </r>
  </si>
  <si>
    <t>Incertidumbre expandida</t>
  </si>
  <si>
    <t>NOMBRE</t>
  </si>
  <si>
    <t>Cliente</t>
  </si>
  <si>
    <t>Domicilio</t>
  </si>
  <si>
    <t>Contacto</t>
  </si>
  <si>
    <t>Correo</t>
  </si>
  <si>
    <t>Tel</t>
  </si>
  <si>
    <t>Ext</t>
  </si>
  <si>
    <t>IMP Ó DIG</t>
  </si>
  <si>
    <t>REQUISITOS ESPECIALES</t>
  </si>
  <si>
    <t>ALFMEIER</t>
  </si>
  <si>
    <t>ALFMEIER FRIEDRICHS &amp; RATH DE MEXICO SA DE CV</t>
  </si>
  <si>
    <t>Av. Kalos No.108 Parque Industrial Kalos Apodaca N.L CP.66603</t>
  </si>
  <si>
    <t>Wesley Reyes</t>
  </si>
  <si>
    <t>wesley.reyes@afrna.com</t>
  </si>
  <si>
    <t xml:space="preserve"> (81) 1247-5500</t>
  </si>
  <si>
    <t>DIGITAL</t>
  </si>
  <si>
    <t>FORMATO DE FECHA SIN DÍA, SOLO MES Y AÑO, EJ: ENE-203</t>
  </si>
  <si>
    <t>ARSTAR</t>
  </si>
  <si>
    <t>ARSTAR SA DE CV</t>
  </si>
  <si>
    <t>AV PROL ADOLFO LOPEZ MATEOS No 500 COL VILLA DE SAN MIGUEL GPE NL</t>
  </si>
  <si>
    <t>NEFTALI GARCIA/ROBERTO RUBIO</t>
  </si>
  <si>
    <t>calidad.arstar@arstarinc.com /mejora.continua@arstarinc.com</t>
  </si>
  <si>
    <t>IMPRESO</t>
  </si>
  <si>
    <t>ASSYMEX</t>
  </si>
  <si>
    <t>ASSYMEX MONTERREY SA DE CV</t>
  </si>
  <si>
    <t>SAN SEBASTIAN 110, LOS LERMAS, GUADALUPE, NUEVO LEÓN</t>
  </si>
  <si>
    <t>ANA GÓMEZ</t>
  </si>
  <si>
    <t>mx.compras@assymexmty.com</t>
  </si>
  <si>
    <t>BESSER</t>
  </si>
  <si>
    <t xml:space="preserve">BESSER ENERGY SAPI DE CV </t>
  </si>
  <si>
    <t>CALLE DE LA INDUSTRIA 215, PARQUE MARFER, SANTA CATARINA, NUEVO LEÓN</t>
  </si>
  <si>
    <t>DANIEL TORRES</t>
  </si>
  <si>
    <t>SLUJAN@BESSERLIGHTING.COM</t>
  </si>
  <si>
    <t>BONADA</t>
  </si>
  <si>
    <t>SERVICIOS AERONAUTICOS SAB S.A DE C.V</t>
  </si>
  <si>
    <t>PALMERAS 546, PASEO DE LAS PALMAS, APODACA, NUEVO LEÓN</t>
  </si>
  <si>
    <t>ING. AMELIA ARREOLA</t>
  </si>
  <si>
    <t>ameliaarreola@hotmail.com</t>
  </si>
  <si>
    <t>BROMAKE</t>
  </si>
  <si>
    <t>BROMAKE SA DE CV</t>
  </si>
  <si>
    <t>Blvd. TLC 5063, Parque Industrial Milenium,
Apodaca, Nuevo León, C.P. 66626</t>
  </si>
  <si>
    <t>SAÚL LOZOYA</t>
  </si>
  <si>
    <t>qualitymty@bromake.com</t>
  </si>
  <si>
    <t>IMP Y DIG</t>
  </si>
  <si>
    <t>BYSTROM MANUFACTURING</t>
  </si>
  <si>
    <t>Av. Adolfo Lopez Mateos 221 - Int. 5, Parque Industrial Bosques del Sur, Col. La Victoria, Guadalupe, Nuevo León, C.P. 67140</t>
  </si>
  <si>
    <t>Ing. Andrea Salazar/ Ing. Javier Niño</t>
  </si>
  <si>
    <t>andrea.salazar@bystrom.com.mx/ calidad.bystrom@gmail.com</t>
  </si>
  <si>
    <t>CARRIER</t>
  </si>
  <si>
    <t>CARRIER MEXICO, S.A. DE C.V.</t>
  </si>
  <si>
    <t>Ave. Finsa #3196, Parque Industrial FINSA, Santa Catarina, Nuevo León, C.P. 66350</t>
  </si>
  <si>
    <t>Ing. Eleaser Vazquez</t>
  </si>
  <si>
    <t>eleaser.vazquez@carrier.com</t>
  </si>
  <si>
    <t xml:space="preserve">52 (81) 8124 7600 </t>
  </si>
  <si>
    <t>CARRIER T</t>
  </si>
  <si>
    <t>CARRIER MEXICO</t>
  </si>
  <si>
    <t>Ave Alborada 541 Col. Finsa, Parque Industrial FINSA Guadalupe N.L. CP. 67132</t>
  </si>
  <si>
    <t xml:space="preserve"> J. Santos Valenciano Requenes</t>
  </si>
  <si>
    <t>jsantos.valenciano@carrier.com</t>
  </si>
  <si>
    <t>CELESTICA ESTANDAR</t>
  </si>
  <si>
    <t>CELESTICA DE MONTERREY</t>
  </si>
  <si>
    <t>Calle 8va, Parque Industrial Monterrey 102, 66600 Cd Apodaca, N.L</t>
  </si>
  <si>
    <t>Guillermo Peña</t>
  </si>
  <si>
    <t>lurodri@celestica.com</t>
  </si>
  <si>
    <t>81 8156 1500</t>
  </si>
  <si>
    <t>Agregar nota: El equipo ha sido calibrado y aprobado  apto para su uso/ No apto para su uso.</t>
  </si>
  <si>
    <t>CELESTICA MEDICO</t>
  </si>
  <si>
    <t>Nancy Montero</t>
  </si>
  <si>
    <t>nmonteroo@celestica.com</t>
  </si>
  <si>
    <t xml:space="preserve">81 8156 1500 </t>
  </si>
  <si>
    <t>Agregar nota: El equipo ha sido calibrado y aprobado  apto para su uso/ No apto para su uso. Revisar Schedule que envía el cliente.</t>
  </si>
  <si>
    <t>ENCORE</t>
  </si>
  <si>
    <t>ENCORE SYSTEMS SA DE CV</t>
  </si>
  <si>
    <t>Orion #1463, Interior 1-C, N/A
Apodaca, Nuevo Leòn C.P.66600</t>
  </si>
  <si>
    <t>KEVIN MORENO</t>
  </si>
  <si>
    <t>kmoreno@k-and-s.com
pochoa@k-and-s.com</t>
  </si>
  <si>
    <t xml:space="preserve">(81) 8190-2505 </t>
  </si>
  <si>
    <t>EDWARDS</t>
  </si>
  <si>
    <t>AIM_SERVICIOS ADMINISTRATIVOS S. DE RL. DE C.V.</t>
  </si>
  <si>
    <t>CARRETERA A HUINALA KM. 2.8 PARQUE IND. LAS AMERICAS EDIF. B APODACA, NL 66640 MX</t>
  </si>
  <si>
    <t>Rogelio Ramos Villarreal</t>
  </si>
  <si>
    <t>Rogelio.ramos@edwardsvacuum.com</t>
  </si>
  <si>
    <t>ESAB</t>
  </si>
  <si>
    <t>ESAB MEXICO SA DE CV</t>
  </si>
  <si>
    <t>Diego Díaz de Berlanga, C.P. 66480, San Nicolás de los Garza, Nuevo León, Mexico</t>
  </si>
  <si>
    <t>JOSE ROMAN HERRERA</t>
  </si>
  <si>
    <t>jroman@esabmexico.com.mx</t>
  </si>
  <si>
    <t>81 83053734</t>
  </si>
  <si>
    <t>EVCO PLASTICS</t>
  </si>
  <si>
    <t>EVCO PLASTICS DE MEXICO S DE RL DE CV</t>
  </si>
  <si>
    <t>AV PABLO LIVAS # 4211
GUADALUPE VICTORIA, GUADALUPE, N. L.
C.P. 67180</t>
  </si>
  <si>
    <t>JOSÉ HERNÁNDEZ</t>
  </si>
  <si>
    <t>jose_h@evcoplastics.com.mx</t>
  </si>
  <si>
    <t>FRANKLIN GPE PLANTA 1</t>
  </si>
  <si>
    <t>FRANKLIN ELECTRIC</t>
  </si>
  <si>
    <t>Avenida De los Lagos #1085
Parque Industrial Acueducto, C.P. 67193
Ciudad Guadalupe, Nuevo Leon, Mexico.</t>
  </si>
  <si>
    <t>BELLANIRA AVALOS</t>
  </si>
  <si>
    <t>Bellanira.Avalos@fele.com</t>
  </si>
  <si>
    <t xml:space="preserve">81 83800039 </t>
  </si>
  <si>
    <t>FRANKLIN GPE PLANTA 2</t>
  </si>
  <si>
    <t>EDGAR ARMIJO</t>
  </si>
  <si>
    <t>Edgar.Armijo@fele.com</t>
  </si>
  <si>
    <t xml:space="preserve">81 83800040 </t>
  </si>
  <si>
    <t>FRANKLIN LINARES</t>
  </si>
  <si>
    <t>Motores Eléctricos Sumergibles de México S de RL de C.V</t>
  </si>
  <si>
    <t>Av. Industria Alimentaria # 2001 
Parque Industrial Linares 
Linares Nuevo León México  CP. 67735</t>
  </si>
  <si>
    <t>ROLANDO TREVIÑO</t>
  </si>
  <si>
    <t>RTrevino@fele.com</t>
  </si>
  <si>
    <t>GEMINI</t>
  </si>
  <si>
    <t>Gemini Plastics de Mexico</t>
  </si>
  <si>
    <t>Carretera Saltillo Zacatecas km 4.5 sn, Nave 39, 40 y 41 | Saltillo, Coahuila, Mexico C.P. | 25315</t>
  </si>
  <si>
    <t>Ing. Raul Rodriguez</t>
  </si>
  <si>
    <t>RAlejandroCerdaRodriguez@geminigroup.net</t>
  </si>
  <si>
    <t>GHSP</t>
  </si>
  <si>
    <t>GHSP MEXICO SA DE CV</t>
  </si>
  <si>
    <t>ARCO VIAL COL MORELOS 6261, SALTILLO, COAHUILA</t>
  </si>
  <si>
    <t>A quien corresponda</t>
  </si>
  <si>
    <t>ramirezj@ghsp.com</t>
  </si>
  <si>
    <t>GRUPO GONDI</t>
  </si>
  <si>
    <t xml:space="preserve">PAPEL Y EMPAQUES GONDI MONTERREY </t>
  </si>
  <si>
    <t xml:space="preserve">AUTOPISTA AL AEROPUERTO #1111 COL. NEXXUS GUADALUPE N.L. </t>
  </si>
  <si>
    <t xml:space="preserve">JAVIER SAUCEDA </t>
  </si>
  <si>
    <t>javier.sauceda@grupogondi.com</t>
  </si>
  <si>
    <t>H SAM</t>
  </si>
  <si>
    <t>HWASEUNG AUTOMOTIVE MEXICO S DE RL DE CV</t>
  </si>
  <si>
    <t>AV. INDUSTRIA 101
PARQUE INDUSTRIAL VYMNSA, SECTOR II
C.P. 25904, RAMOS ARIZPE, COAHUILA</t>
  </si>
  <si>
    <t>ERICK M CERVANTES</t>
  </si>
  <si>
    <t>ecervantes@hsam.mx</t>
  </si>
  <si>
    <t>IMMI</t>
  </si>
  <si>
    <t>IMMI de México Production S de RL de CV</t>
  </si>
  <si>
    <t>Blvd. Cesar H. Cantu No. 176, Parque Industrial Alianza, Derramadero, Saltillo, Coahuila, México C.P. 25300</t>
  </si>
  <si>
    <t>Ing. Antonio Guerrero</t>
  </si>
  <si>
    <t>aguerrero@imminet.com</t>
  </si>
  <si>
    <t>844 454 8900</t>
  </si>
  <si>
    <t>INICS</t>
  </si>
  <si>
    <t>INICS MEXICO SA DE CV</t>
  </si>
  <si>
    <t>AV.INDUSTRIAL 201, PARQUE INDUSTRIAL LA SILLA, APODACA, N.L.</t>
  </si>
  <si>
    <t>ALEJANDRO GARCÍA SALDAÑA</t>
  </si>
  <si>
    <t>alejandro@inics-america.com</t>
  </si>
  <si>
    <t>INSCAL&amp;SERVICES</t>
  </si>
  <si>
    <t>Instruments Calibration &amp; Services (InsCal &amp; Services)</t>
  </si>
  <si>
    <t>Paseo de la Cañada #158, Col. Las Fuentes Colonial Reynosa, Tamaulipas C.P. 88703</t>
  </si>
  <si>
    <t>eorduna@inscalservices.com</t>
  </si>
  <si>
    <t>899 445 3504</t>
  </si>
  <si>
    <t>IPHARMA</t>
  </si>
  <si>
    <t>IPHARMA, S.A. DE C.V.</t>
  </si>
  <si>
    <t>CELAYA 322 COL. MITRAS CENTRO, Monterrey, N.L. México CP 64460</t>
  </si>
  <si>
    <t>marco.flores@i-pharma.com.mx</t>
  </si>
  <si>
    <t>81 83 48 78 43</t>
  </si>
  <si>
    <t>FORMATO DE FECHA MM/DD/AAAA, todo con número, ejemplo (04/11/2023)</t>
  </si>
  <si>
    <t>JMH</t>
  </si>
  <si>
    <t>Diseños Metálicos JMH</t>
  </si>
  <si>
    <t>PRIVADA REGIOPARQUE, 111, REGIOPARQUE INDUSTRIAL, APODACA NUEVO LEON, 66600</t>
  </si>
  <si>
    <t>ALBERTO MACIAS</t>
  </si>
  <si>
    <t>ADMINISTRACION@JMH.COM.MX</t>
  </si>
  <si>
    <t>JU YOUNG</t>
  </si>
  <si>
    <t>JU YOUNG SERVICES, SA DE CV</t>
  </si>
  <si>
    <t>BLVD. CARLOS SALINAS DE GORTARI #1000, COL. EL MILAGRO, APODACA, NUEVO LEÓN.</t>
  </si>
  <si>
    <t>CAROLAYY MUÑOZ/ARTURO GARCÍA</t>
  </si>
  <si>
    <t>arturo.garcia@juyoung.com//carolayy.espinoza@juyoung.com</t>
  </si>
  <si>
    <t>K + S SERVICES</t>
  </si>
  <si>
    <t>K&amp;S SERVICIOS INDUSTRIALES, S.A. DE C.V.</t>
  </si>
  <si>
    <t>Calle: ORION 1463  Int.1
Colonia:  sin colonia
C.P. 66600
Apodaca, N.L.</t>
  </si>
  <si>
    <t>Ing. Patricio Ochoa</t>
  </si>
  <si>
    <t>nhernandez@k-and-s.com y pochoa@k-and-s.com</t>
  </si>
  <si>
    <t>81 8190 2505</t>
  </si>
  <si>
    <t>KATCON</t>
  </si>
  <si>
    <t>Katcon Mexico S.A. de C.V.</t>
  </si>
  <si>
    <t>Av Manuel Ordoñez #601, Sin Nombre de Col 3, 66350 Santa Catarina, N.L.</t>
  </si>
  <si>
    <t>Ing.Martin Meza</t>
  </si>
  <si>
    <t>martin.meza@katcon.com</t>
  </si>
  <si>
    <t>81-8172-8530</t>
  </si>
  <si>
    <t>KE ELEKTRONIK</t>
  </si>
  <si>
    <t xml:space="preserve">CEMM MEX S.A. DE C.V. / KE ELEKTRONIK </t>
  </si>
  <si>
    <t>IRIS, No. Ext. 105, 29 DE JULIO, C.P. 67205, GUADALUPE, NUEVO LEÓN, MEXICO</t>
  </si>
  <si>
    <t xml:space="preserve">CESAR SANCHEZ </t>
  </si>
  <si>
    <t>Cesar.Sanchez@ke-elektronik.de</t>
  </si>
  <si>
    <t>812594 1236</t>
  </si>
  <si>
    <t>Como minimo una serie de 8 puntos de resultados en calibración.</t>
  </si>
  <si>
    <t>MAQPLASTICS</t>
  </si>
  <si>
    <t>MAQ PLASTICS SA DE CV</t>
  </si>
  <si>
    <t>JOSE DOMINGUEZ 1087, COL. NIÑO ARTILLERO, MONTERREY, NUEVO LEÓN, C.P. 64280</t>
  </si>
  <si>
    <t>OSCAR NAVARRO</t>
  </si>
  <si>
    <t>maqplastics@gmail.com</t>
  </si>
  <si>
    <t>MARSTO</t>
  </si>
  <si>
    <t>Marsto Precision Instruments de Mexico, S de R L de CV</t>
  </si>
  <si>
    <t>Carretera a Agua Fría Libre Estatal No. 499 Edificio AF2 
Prologis Park Agua Fría, Apodaca, N.L. México C.P. 66620</t>
  </si>
  <si>
    <t>Cesar J. Quiroga Arizpe</t>
  </si>
  <si>
    <t>cesar.quiroga@marsto.com.mx</t>
  </si>
  <si>
    <t>81 1089 4020</t>
  </si>
  <si>
    <t>MEDSOLUTIONS</t>
  </si>
  <si>
    <t>Medsolutions S.A. de C.V.</t>
  </si>
  <si>
    <t>Alejandro Mendoza Klein</t>
  </si>
  <si>
    <t>alejandro.mendoza@medsolutions.com.mx</t>
  </si>
  <si>
    <t>MELTER FP</t>
  </si>
  <si>
    <t>MELTER SA DE CV (DIV. FABRICACIONES PESADAS)</t>
  </si>
  <si>
    <t>Av. Luis Donaldo Colosio #402, Col. Comunidad ExHacienda San Francisco, Apodaca, Nuevo León, C.P. 66600</t>
  </si>
  <si>
    <t>Ing. Raymundo Verastegui</t>
  </si>
  <si>
    <t>rverastegui@melter.com.mx</t>
  </si>
  <si>
    <t>81 8000 96000</t>
  </si>
  <si>
    <t>MELTER IC</t>
  </si>
  <si>
    <t>MELTER,S.A. DE C.V.</t>
  </si>
  <si>
    <t>CALLE SPECTRUM 233, PARQUE INDUSTRIAL FINSA, C.P. 66600, MEXICO</t>
  </si>
  <si>
    <t>Manuel Vázquez</t>
  </si>
  <si>
    <t>mvazquez@melter.com.mx</t>
  </si>
  <si>
    <t>818000-9600</t>
  </si>
  <si>
    <t>LA VIGENCIA EN EL CERTIFICADO DEBE LLEVAR LA LEYENDA "Vigencia definidia por el usuario" y en la etiqueta el siguiente formato **/**/****</t>
  </si>
  <si>
    <t>METRIC WORKS</t>
  </si>
  <si>
    <t>Metrics Works Saltillo</t>
  </si>
  <si>
    <t xml:space="preserve">Av. Industria Automotriz 6040-C
Parque Industrial Ramos Arizpe
</t>
  </si>
  <si>
    <t xml:space="preserve">Carlos Rosales </t>
  </si>
  <si>
    <t>jperalez@metricsworks.com</t>
  </si>
  <si>
    <t>844 159 5116</t>
  </si>
  <si>
    <t>MYTAAC</t>
  </si>
  <si>
    <t>MANUFACTURAS Y TECNOLOGIAS AVANZADAS DE ACERO SA DE CV</t>
  </si>
  <si>
    <t>ANTONIO E MARCOS 1219, COMOPOLIS, APODACA, NUEVO LEÓN, C.P. 66612</t>
  </si>
  <si>
    <t>Ing Ronerto Segura</t>
  </si>
  <si>
    <t>robertosc@mytaac.com</t>
  </si>
  <si>
    <t>(81) 1958 9390</t>
  </si>
  <si>
    <t>NAS</t>
  </si>
  <si>
    <t>NAS MEXICO SA DE CV</t>
  </si>
  <si>
    <t>RIVADA ANDRES GUAJARDO #360 APODACA</t>
  </si>
  <si>
    <t xml:space="preserve">ING RENE MARTINEZ </t>
  </si>
  <si>
    <t>rm4534@northamericanstainless.com</t>
  </si>
  <si>
    <t xml:space="preserve">81 1253 7700 </t>
  </si>
  <si>
    <t>NEROCYTONIX</t>
  </si>
  <si>
    <t>NEUROCYTONIX MEXICO SA DE VC</t>
  </si>
  <si>
    <t>CIDICS, AV GONZALITOS ESQUINA CON CALLE DR CANSECO SIN NUMERO CP 64460</t>
  </si>
  <si>
    <t>ARTURO GONZALEZ JR.</t>
  </si>
  <si>
    <t>RAGUIRRE@NEUROCYTONIX.COM</t>
  </si>
  <si>
    <t>NYX ARTEAGA</t>
  </si>
  <si>
    <t>Nyx Mexico Plastics</t>
  </si>
  <si>
    <t>ARRETERA LOMA ALTA #999, FRACC. LAS CASAS
ARTEAGA, COAHUILA MEXICO  25354</t>
  </si>
  <si>
    <t>Pedro Pablo Perez Prado</t>
  </si>
  <si>
    <t>pedro.perez@nyxinc.com</t>
  </si>
  <si>
    <t>REVISAR VIGENCIA PROPORCIONADA POR EL CLIENTE</t>
  </si>
  <si>
    <t>OEM SUPPLY</t>
  </si>
  <si>
    <t>AV. CENTRAL 5485, COL. LAS HUERTAS, GUADALUPE N.L</t>
  </si>
  <si>
    <t>acompras@oemsupply.mx</t>
  </si>
  <si>
    <t>PANASONIC</t>
  </si>
  <si>
    <t>Panasonic Energy Mexico SA de CV</t>
  </si>
  <si>
    <t>Av Santa Barbara 601, Ex Ejido San Nicolas</t>
  </si>
  <si>
    <t>Nehemias Galindo</t>
  </si>
  <si>
    <t>galindo.nehemias@mx.panasonic.com</t>
  </si>
  <si>
    <t>(81) 81 54 71 00</t>
  </si>
  <si>
    <t>PENTAIR WELBIT</t>
  </si>
  <si>
    <t>Manitowoc FSG Manufactura México S de RL de CV</t>
  </si>
  <si>
    <t>Vía a Tampico # 1601 Parque Industrial Finsa Guadalupe CP 67132</t>
  </si>
  <si>
    <t xml:space="preserve">ING EVERARDO ALDABA </t>
  </si>
  <si>
    <t>everardo.aldaba@pentair.com</t>
  </si>
  <si>
    <t xml:space="preserve">811 211 21 60 </t>
  </si>
  <si>
    <t>PHILLIPS CONNECT</t>
  </si>
  <si>
    <t>Phillips Connect</t>
  </si>
  <si>
    <t>Av. Bob Phillips # 755, Col. El Llano, Artega Coahuila CP 25350</t>
  </si>
  <si>
    <t>Alejandro Chávez</t>
  </si>
  <si>
    <t>fachavez@phillipsind.com</t>
  </si>
  <si>
    <t>PHILLIPS INDUSTRIES</t>
  </si>
  <si>
    <t>PHILLIPS INDUSTRIES DE MEXICO</t>
  </si>
  <si>
    <t>AV. BOB PHILLIPS 
Col. EL LLANO
#1003</t>
  </si>
  <si>
    <t>Sergio Gonzalez</t>
  </si>
  <si>
    <t>sgonzalez@phillipsind.com</t>
  </si>
  <si>
    <t>PLANTASFALTO</t>
  </si>
  <si>
    <t>Plantasfalto</t>
  </si>
  <si>
    <t>Camino a las pedreras No. 1250, s/c Ejido San Miguel, Escobedo, Nuevo León, C.P. 66050</t>
  </si>
  <si>
    <t>Ing. Jose Luis Anguiano</t>
  </si>
  <si>
    <t>janguiano@grupominco.com</t>
  </si>
  <si>
    <t xml:space="preserve">81 5000 4060 </t>
  </si>
  <si>
    <t>PYROTEK</t>
  </si>
  <si>
    <t>PYROTEK MÉXICO</t>
  </si>
  <si>
    <t xml:space="preserve">DECADA 5008 PARQUE INDUSTRAL MILLENIUM, APODACA, NL </t>
  </si>
  <si>
    <t>Jaaziel Rivas Aguilar</t>
  </si>
  <si>
    <t>jaariv@pyrotek.com</t>
  </si>
  <si>
    <t>QUALITECH</t>
  </si>
  <si>
    <t>QUALITECH INSPECTION, REAPIR AND MAINTENANCE SA DE CV</t>
  </si>
  <si>
    <t xml:space="preserve">Calle 55 SN, San Carlos, C.P. 24116, Ciudad del Carmen, Campeche </t>
  </si>
  <si>
    <t>Obet Martínez</t>
  </si>
  <si>
    <t>obet.martinez@qualitechrim.com</t>
  </si>
  <si>
    <t>938 164 0969</t>
  </si>
  <si>
    <t>RASE</t>
  </si>
  <si>
    <t>PROVEEDORA FARMACEUTICA RASE S.A DE C.V</t>
  </si>
  <si>
    <t>SAN BERNABE #205, COLONIA VALLE MORELOS, MONTERREY, NUEVO LEON</t>
  </si>
  <si>
    <t>Daniel Macias</t>
  </si>
  <si>
    <t>compras.operativas@rase.com.mx</t>
  </si>
  <si>
    <t>81 2679 3089</t>
  </si>
  <si>
    <t>REGAL</t>
  </si>
  <si>
    <t>REGAL REXNORD</t>
  </si>
  <si>
    <t>Calle de la Industria # 2013                                                                                                                                                                                                                                                                                                                                                                                                                                        Parque Industrial Millenium                                                                                                                                                                                                                                                                                                                                                                                                       Santa Catarina, Nuevo Leon 66357</t>
  </si>
  <si>
    <t>Alma Delia Lopez</t>
  </si>
  <si>
    <t>almadelia.lopez@regalrexnord.com</t>
  </si>
  <si>
    <t>RG FOODS</t>
  </si>
  <si>
    <t>CATTLE AND POULTRY SPR DE RL DE CV</t>
  </si>
  <si>
    <t>CARRETERA NACIONAL No 85 MONTERREY NUEVO LAREDO KM188+300 CP 88295  NUEVO LAREDO TAMAULIPAS</t>
  </si>
  <si>
    <t>ING. OCTAVIO HINOJOSA</t>
  </si>
  <si>
    <t>Calidad@rgfoods.com.mx</t>
  </si>
  <si>
    <t>RYL</t>
  </si>
  <si>
    <t>GRUPO RYL</t>
  </si>
  <si>
    <t>Carretera Monterrey Laredo km 16.5</t>
  </si>
  <si>
    <t>Aurora Reta</t>
  </si>
  <si>
    <t>aurora.reta@gruporyl.com</t>
  </si>
  <si>
    <t>SANILTECH</t>
  </si>
  <si>
    <t>Saniltech S.A. de C.V.</t>
  </si>
  <si>
    <t>Carr. Nuevo Laredo Km 16.5 Int. 1-B,
Col. Moises Sáenz Cp.66613
Apodaca, N.L. Mexico</t>
  </si>
  <si>
    <t>Rogelio Obregón</t>
  </si>
  <si>
    <t>rogelio.obregon@coavis.com</t>
  </si>
  <si>
    <t>81-2202-3856</t>
  </si>
  <si>
    <t>SATELITE</t>
  </si>
  <si>
    <t>Equipos de Carburación Satelite</t>
  </si>
  <si>
    <t>Carr. Mty-Laredo Km. 37
Parque Ind. Cienega de Flores
Cienega de Flores, Nuevo Leon
CP 65550</t>
  </si>
  <si>
    <t xml:space="preserve">Raul de la Garza/Nancy Valverde </t>
  </si>
  <si>
    <t>rauldelagarza@satelitemx.com
Nancy Valverde@satelitemx.com</t>
  </si>
  <si>
    <t>SENIOR AEROSPACE</t>
  </si>
  <si>
    <t>Senior Aerospace Mexico</t>
  </si>
  <si>
    <t>Carretera Saltillo Zacatecas km 4.5 Parque Industrial La Angostura</t>
  </si>
  <si>
    <t>Cristela Mendoza</t>
  </si>
  <si>
    <t>cmendoza@seniormexico.com</t>
  </si>
  <si>
    <t>SERVICIOS INDUSTRIALES GARZA REYES</t>
  </si>
  <si>
    <t>SERVICIOS INDUSTRIALES GARZA REYES SA DE CV</t>
  </si>
  <si>
    <t>PUERTO MANZANILLO 461, LA FE, SAN NICOLAS DE LOS GARZA, NUEVO LEON, C.P. 66477</t>
  </si>
  <si>
    <t>GRECIA VON HARTZ</t>
  </si>
  <si>
    <t>calidad.industriasgr@gmail.com</t>
  </si>
  <si>
    <t>SERVICIOS INDUSTRIALES MACH</t>
  </si>
  <si>
    <t>SERVICIOS INDUSTRIALES MACHS S.A. DE C.V.</t>
  </si>
  <si>
    <t>ROMULO DIAZ DE LA VEGA 1812</t>
  </si>
  <si>
    <t>CALIDAD</t>
  </si>
  <si>
    <t>calidad2@machs.com.mx</t>
  </si>
  <si>
    <t>DOBLE ETIQUETA</t>
  </si>
  <si>
    <t>SMURFIT KAPPA</t>
  </si>
  <si>
    <t>SMURFITKAPPA HONEYCOMB</t>
  </si>
  <si>
    <t>PARQUE INDUSTRIAL MONTERREY #308</t>
  </si>
  <si>
    <t>Katia Garcia</t>
  </si>
  <si>
    <t>Katia.Garcia@smurfitkappa.com</t>
  </si>
  <si>
    <t>(81) 80080202</t>
  </si>
  <si>
    <t>STARION</t>
  </si>
  <si>
    <t>STARION MONTERREY MEXICO S.A DE C.V</t>
  </si>
  <si>
    <t>AV.INTERNACIONAL, 302 A COL.PARQUE INDUSTRIAL HUINALA C.P 66645, APODACA NUEVO LEÓN, MÉXICO</t>
  </si>
  <si>
    <t>Ilse Zapata Torres</t>
  </si>
  <si>
    <t>ilse.z@starion.co.kr</t>
  </si>
  <si>
    <t>STEEL TECHNOLOGIES</t>
  </si>
  <si>
    <t xml:space="preserve">Steel Technologies de México </t>
  </si>
  <si>
    <t>Av. Amalfi  # 124, Parque Industrial Propark Pesquería, NL</t>
  </si>
  <si>
    <t>Ing. Rigoberto Quintanilla Puente</t>
  </si>
  <si>
    <t>rquintanilla@steeltechnologies.com.mx</t>
  </si>
  <si>
    <t>(52) 81 81 96 47 00</t>
  </si>
  <si>
    <t>SUPERIOR SPINDLE</t>
  </si>
  <si>
    <t>SUPERIOR SPINDLE SERVICE MEXICO</t>
  </si>
  <si>
    <t xml:space="preserve">ORION 1463, COL. PARQUE. IND. ORION, C.P. 66600 APODACA, NUEVO LEON, MEXICO </t>
  </si>
  <si>
    <t>fvazquez@k-and-s.com</t>
  </si>
  <si>
    <t>(81) 8190-2505</t>
  </si>
  <si>
    <t>TAE SUNG</t>
  </si>
  <si>
    <t>TAE SUNG MEXICO S.A DE C.V</t>
  </si>
  <si>
    <t>Av. Parque Idustrial Monterrey  #600a</t>
  </si>
  <si>
    <t>Ruth Cruz</t>
  </si>
  <si>
    <t>acalidad@taesungmexico.com.mx</t>
  </si>
  <si>
    <t>81)8145-2834 / (81)8145-2331</t>
  </si>
  <si>
    <t>MEXICO MRO MANAGEMENT S DE RL DE CV</t>
  </si>
  <si>
    <t>Carretera Estatal 200 Querétaro-Tequisquiapan 22500 Int. A. Colón, Querétaro. 76270</t>
  </si>
  <si>
    <t>Ing. Jose Wilfrido Nuñez del Bosque</t>
  </si>
  <si>
    <t xml:space="preserve"> JoseW.Nunez@techops.mx</t>
  </si>
  <si>
    <t>(442)-480-7334</t>
  </si>
  <si>
    <t>TECNOTRAT</t>
  </si>
  <si>
    <t>TECNOLOGIA EN TRATAMIENTOS TERMICOS SA DE CV</t>
  </si>
  <si>
    <t>AVENIDA SAN NICOLAS 3550 COLONIA DEL NORTE MONTERREY N.L. CP 64500</t>
  </si>
  <si>
    <t>ARMANDO HERNANDEZ OJEDA</t>
  </si>
  <si>
    <t>laboratorio@tecnotrat.com.mx</t>
  </si>
  <si>
    <t xml:space="preserve">818351-3112 </t>
  </si>
  <si>
    <t>USAR LA PALABRA "No. De Parte" en lugar de "MODELO". Respetar datos de equipos por listado proporcionado por el cliente.</t>
  </si>
  <si>
    <t>TENERE</t>
  </si>
  <si>
    <t>Calle Encinos #101 Col. Los Puertos Juarez N.L., CP 67252</t>
  </si>
  <si>
    <t>Ing.Francisco Aguilar</t>
  </si>
  <si>
    <t>Francisco.Aguilar@cadrex.com</t>
  </si>
  <si>
    <t>81 2034 0655</t>
  </si>
  <si>
    <t xml:space="preserve">Solicito que en el  nombre del informe lleve principalmente la clave del equipo que en cada solicitud </t>
  </si>
  <si>
    <t xml:space="preserve">TME </t>
  </si>
  <si>
    <t>TME MAQUINADOS, S.A. DE C.V.</t>
  </si>
  <si>
    <t>BLVD. JOSE LOPEZ PORTILLO #333 BODEGA 108 VALLE DEL CANADA ESCOBEDO N.L.</t>
  </si>
  <si>
    <t>Guillermo Suarez</t>
  </si>
  <si>
    <t>comprastme@tmemaquinados.com.mx</t>
  </si>
  <si>
    <t>TN MANUFACTURING</t>
  </si>
  <si>
    <t>TN Manufacturing</t>
  </si>
  <si>
    <t>Av Regio Parque 157, Regio Parque Industrial, Apodaca</t>
  </si>
  <si>
    <t>Esaú De León</t>
  </si>
  <si>
    <t>calidad@tnmanufacturing.com</t>
  </si>
  <si>
    <t>81 13340396</t>
  </si>
  <si>
    <t>TOTOMAK</t>
  </si>
  <si>
    <t>TOTOMAK MEXICO</t>
  </si>
  <si>
    <t>Camino a los borregos, Lote D, Monterrey Technology Park, Cienega de Flores, Nuevo León, C.P. 65550</t>
  </si>
  <si>
    <t>Berenisse Hernandez</t>
  </si>
  <si>
    <t>bhernandez@totomak.com.mx</t>
  </si>
  <si>
    <t>TUD</t>
  </si>
  <si>
    <t>Tud Grupo Comercial, S.A. de C.V.</t>
  </si>
  <si>
    <t>Privada Regia #102 Regio Parque Industrial, Apodaca, N.L.</t>
  </si>
  <si>
    <t xml:space="preserve">Juventino Flores </t>
  </si>
  <si>
    <t>tinoflores@tud.com.mx</t>
  </si>
  <si>
    <t>VOESTALPINE</t>
  </si>
  <si>
    <t>VOESTALPINE ROTEC DE MEXICO S DE RL DE CV</t>
  </si>
  <si>
    <t>AV.EL SABINAL #200,PARQUE IND. EL SABINALA APODACA N,L CP 66645</t>
  </si>
  <si>
    <t>JACOBO AGUILAR ROQUE</t>
  </si>
  <si>
    <t>jacobo.aguilar@voestalpine.com</t>
  </si>
  <si>
    <t>81 8000 7866</t>
  </si>
  <si>
    <t>Nombre</t>
  </si>
  <si>
    <t>Telefono</t>
  </si>
  <si>
    <t>International ASSEMBLY</t>
  </si>
  <si>
    <t>Emilio Carranza #2421 Col. Jardines de Tolteca C.P. 67178 Guadalupe, N.L. MX</t>
  </si>
  <si>
    <t>Joel Martínez</t>
  </si>
  <si>
    <t>joel@internationalassembly.com</t>
  </si>
  <si>
    <t>(81) 8479-4080</t>
  </si>
  <si>
    <t/>
  </si>
  <si>
    <t>KATCON MÉXICO S.A. DE C.V.</t>
  </si>
  <si>
    <t>AV. MANUEL ORDOÑEZ #601, SIN NOMBRE DE COL 3, SANTA CATARINA, NUEVO LEÓN, C.P. 66350</t>
  </si>
  <si>
    <t>ING MARTIN MEZA</t>
  </si>
  <si>
    <t>MARTIN.MEZA@KATCON.COM</t>
  </si>
  <si>
    <t>(81) 8172 8530</t>
  </si>
  <si>
    <t>A QUIEN CORRESPONDA</t>
  </si>
  <si>
    <t>RAMIREZJ@GHSP.COM</t>
  </si>
  <si>
    <t>(84) 4171 5352</t>
  </si>
  <si>
    <t xml:space="preserve">SANILTECH SA DE CV </t>
  </si>
  <si>
    <t>CARR. NUEVO LAREDO KM 16.5 INT. 1-B, COL. MOISÉS SÁENZ, APODACA, NUEVO LEÓN, MÉXICO, C.P..66613</t>
  </si>
  <si>
    <t>ING. JOSE MORALES CASTILLO</t>
  </si>
  <si>
    <t>JOSE.MORALES@COAVIS.COM</t>
  </si>
  <si>
    <t xml:space="preserve">(81) 8385 0176 </t>
  </si>
  <si>
    <t>DANIEL MACÍAS</t>
  </si>
  <si>
    <t>COMPRAS.OPERATIVAS@RASE.COM.MX</t>
  </si>
  <si>
    <t>(81) 2679 3089</t>
  </si>
  <si>
    <t>MEDSOLUTIONS S.A. DE C.V.</t>
  </si>
  <si>
    <t>ALEJANDRO MENDOZA KLEIN</t>
  </si>
  <si>
    <t>ALEJANDRO.MENDOZA@MEDSOLUTIONS.COM.MX</t>
  </si>
  <si>
    <t>(49) 2146 4330</t>
  </si>
  <si>
    <t>ARTURO.GARCIA@JUYOUNG.COM</t>
  </si>
  <si>
    <t>8182202340</t>
  </si>
  <si>
    <t>Correo: CAROLAYY.ESPINOZA@JUYOUNG.COM
Hay dos correos.</t>
  </si>
  <si>
    <t>MAXON LIFT</t>
  </si>
  <si>
    <t>BLVD INSTRIAL NEXXUS 1711, SALINAS VICTORIA, NUEVO LEÓN</t>
  </si>
  <si>
    <t>Fernanda Garcia</t>
  </si>
  <si>
    <t>fergarcia@femsafab.com</t>
  </si>
  <si>
    <t>8110664201</t>
  </si>
  <si>
    <t>INDUSTRIAS ELECTRONICAS PACIFICO SA DE CV PLANTA 4</t>
  </si>
  <si>
    <t>NEUTRON 110, PARQUE INDUSTRIAL STIVA, APODACA, NUEVO LEÓN, C.P. 66600</t>
  </si>
  <si>
    <t>JOSE ALEJO PÉREZ NAVARRO</t>
  </si>
  <si>
    <t>JOSEALEJO.PEREZ@SE.COM</t>
  </si>
  <si>
    <t>(81) 1545 7298</t>
  </si>
  <si>
    <t>ING. ROBERTO SEGURA</t>
  </si>
  <si>
    <t>ROBERTOSC@MYTAAC.COM</t>
  </si>
  <si>
    <t>RUHRPUMPEN SA DE CV</t>
  </si>
  <si>
    <t>CIUDAD INDUSTRIAL MITRAS, NIQUEL  9204 INT C, GARCIA, NUEVO LEÓN, MÉXICO, C.P. 66000</t>
  </si>
  <si>
    <t>SERGIO LARA GARCIA</t>
  </si>
  <si>
    <t>SLARA@RUHRPUMPEN.COM</t>
  </si>
  <si>
    <t>(81) 8158 5548</t>
  </si>
  <si>
    <t>AV. CENTRAL 5485, COL. LAS HUERTAS, GUADALUPE, NUEVO LEÓN</t>
  </si>
  <si>
    <t>ACOMPRAS@OEMSUPPLY.MX</t>
  </si>
  <si>
    <t>(81) 2051 5987</t>
  </si>
  <si>
    <t>MANITOWOC FSG MANUFACTURA MÉXICO S DE RL DE CV</t>
  </si>
  <si>
    <t>VÍA A TAMPICO #1601 PARQUE INDUSTRIAL FINSA GUADALUPE, C.P. 67132</t>
  </si>
  <si>
    <t>ING. ROBERTO LÓPEZ MEDELLÍN</t>
  </si>
  <si>
    <t>ROBERTO.LOPEZMEDELLIN@PENTAIR.COM</t>
  </si>
  <si>
    <t>(81) 1211 2191</t>
  </si>
  <si>
    <t>AV. BOB PHILLIPS # 755, COL. EL LLANO, ARTEGA COAHUILA, C.P. 25350</t>
  </si>
  <si>
    <t>ALEJANDRO CHÁVEZ</t>
  </si>
  <si>
    <t>FACHAVEZ@PHILLIPSIND.COM</t>
  </si>
  <si>
    <t>(65) 6144 4138</t>
  </si>
  <si>
    <t>CELESTICA DE MONTERREY (EDIFICIO L)</t>
  </si>
  <si>
    <t>Eje Metropolitano 910 526, SFO, 66076 Cdad. Gral. Escobedo, N.L.</t>
  </si>
  <si>
    <t>GUILLERMO PEÑA</t>
  </si>
  <si>
    <t>LURODRI@CELESTICA.COM</t>
  </si>
  <si>
    <t>(81) 8156 1502</t>
  </si>
  <si>
    <t>AGREGAR NOTA: "El equipo ha sido calibrado y es apto para su uso" ó "El equipo ha sido calibrado y no es apto para su uso", según corresponda</t>
  </si>
  <si>
    <t>NYX MEXICO PLASTICS</t>
  </si>
  <si>
    <t>CARRETERA LOMA ALTA #999, FRACC. LAS CASAS, ARTEAGA, COAHUILA MEXICO, C.P. 25354</t>
  </si>
  <si>
    <t>PEDRO PABLO PEREZ PRADO</t>
  </si>
  <si>
    <t>PEDRO.PEREZ@NYXINC.COM</t>
  </si>
  <si>
    <t>(84) 4444 0211</t>
  </si>
  <si>
    <t>TENMFG DE MÉXICO S DE RL DE CV</t>
  </si>
  <si>
    <t>CALLE ENCINOS #101 COL. LOS PUERTOS JUÁREZ NUEVO LEÓN, C.P. 67252</t>
  </si>
  <si>
    <t>ING. FRANCISCO AGUILAR</t>
  </si>
  <si>
    <t>FRANCISCO.AGULAR@CADREX.COM</t>
  </si>
  <si>
    <t>(81) 2034 0655</t>
  </si>
  <si>
    <t>PRODUCTOS ARPAPEL SA DE CV</t>
  </si>
  <si>
    <t>AV. DEL PARQUE 2010, AIRPORT TECHNOLOGY PARK, PESQUERÍA, NUEVO LEÓN MÉXICO, C.P. 66657</t>
  </si>
  <si>
    <t>FERNANDO ENRIQUE SANCHEZ CARRIZALEZ</t>
  </si>
  <si>
    <t>(55) 2122 3860</t>
  </si>
  <si>
    <t>CARRETERA A HUINALA KM. 2.8 PARQUE IND. LAS AMERICAS EDIF. B APODACA, NUEVO LEÓN, C.P. 66640 MX</t>
  </si>
  <si>
    <t>ROGELIO RAMOS VILLAREAL</t>
  </si>
  <si>
    <t>ROGELIO.RAMOS@EDWARDSVACUUM.COM</t>
  </si>
  <si>
    <t>(81) 3145 8615</t>
  </si>
  <si>
    <t>Vigencia SOLO MES Y AÑO, datos de equipos, puntos de calibración y tolerancia para dictamen proporcionada por CLIENTE.</t>
  </si>
  <si>
    <t>CALIDAD2@MACHS.COM.MX</t>
  </si>
  <si>
    <t>(81) 8351 5108</t>
  </si>
  <si>
    <t>MARTINREA INTERNACIONAL DE MEXICO, SA DE CV</t>
  </si>
  <si>
    <t>INDUSTRIA DE LA TRANSFORMACIÓN #3131, PARQUE INDUSTRIAL RAMOS ARIZPE, RAMOS ARIZPE, MÉXICO, C.P. 259</t>
  </si>
  <si>
    <t>HECTOR HERNANDEZ</t>
  </si>
  <si>
    <t>HECTOR.HERNANDEZ@MARTINREA.COM</t>
  </si>
  <si>
    <t>(84) 4866 1066</t>
  </si>
  <si>
    <t>CARRIER MÉXICO (PLANTA T)</t>
  </si>
  <si>
    <t>AVE ALBORADA 541 COL. FINSA, PARQUE INDUSTRIAL FINSA GUADALUPE, NUEVO LEÓN, CP. 67132</t>
  </si>
  <si>
    <t>J. SANTOS VALENCIANO REQUENES</t>
  </si>
  <si>
    <t>JSANTOS.VALENCIANO@CARRIER.COM</t>
  </si>
  <si>
    <t>(81) 1562 9273</t>
  </si>
  <si>
    <t>CERTIFICADOS IMPRESOS</t>
  </si>
  <si>
    <t>KRONOS DECANTER SERVICES</t>
  </si>
  <si>
    <t xml:space="preserve">DEL ACERO 113, PARQUE INDUSTRIAL ESCOBEDO, 66062 CDAD. GRAL. ESCOBEDO, NUEVO LEÓN </t>
  </si>
  <si>
    <t>SARAI CONTRERAS</t>
  </si>
  <si>
    <t>COMPRAS@KRONOSDECANTER.COM</t>
  </si>
  <si>
    <t>(81) 8148 8694</t>
  </si>
  <si>
    <t>METRICS MEXICO TRADING COMPANY</t>
  </si>
  <si>
    <t>MARGARITO GARZA GONZALEZ #300 EL SABINAL, APODACA, NUEVO LEÓN</t>
  </si>
  <si>
    <t>ING. IVAN IBARRA</t>
  </si>
  <si>
    <t>JPERALEZ@METRICSWORKS.COM</t>
  </si>
  <si>
    <t>(81) 2040 7613</t>
  </si>
  <si>
    <t>EPALACIOS@K-AND-S.COM</t>
  </si>
  <si>
    <t>MELTER S.A. DE C.V.</t>
  </si>
  <si>
    <t>MANUEL VÁZQUEZ</t>
  </si>
  <si>
    <t>MVAZQUEZ@MELTER.COM.MX</t>
  </si>
  <si>
    <t>(81) 8000 9600</t>
  </si>
  <si>
    <t>STEEL TECHNOLOGIES DE MÉXICO</t>
  </si>
  <si>
    <t>AV. AMALFI #124, PARQUE INDUSTRIAL PROPARK PESQUERÍA, NUEVO LEÓN</t>
  </si>
  <si>
    <t>ING. ROBERTO QUINTANILLA PUENTE</t>
  </si>
  <si>
    <t>RQUINTANILLA@STEELTECHNOLOGIES.COM.MX</t>
  </si>
  <si>
    <t>(81) 8196 4700</t>
  </si>
  <si>
    <t>AV. REGIO PARQUE 157, REGIO PARQUE INDUSTRIAL, APODACA, NUEVO LEÓN</t>
  </si>
  <si>
    <t>ESAÚ DE LEÓN</t>
  </si>
  <si>
    <t>CALIDAD@TNMANUFACTURING.COM</t>
  </si>
  <si>
    <t>(81) 1334 0396</t>
  </si>
  <si>
    <t>FRANKLIN ELECTRIC (GPE PLANTA 2)</t>
  </si>
  <si>
    <t>AVENIDA DE LOS LAGOS #1085,PARQUE INDUSTRIAL ACUEDUCTO, CIUDAD GUADALUPE, NUEVO LEÓN, MEXICO</t>
  </si>
  <si>
    <t>EDGAR.ARMIJO@FELE.COM</t>
  </si>
  <si>
    <t xml:space="preserve">(81) 8380 0040 </t>
  </si>
  <si>
    <t>NEUROCYTONIX MEXICO SA DE CV</t>
  </si>
  <si>
    <t>CALZADA SAN PEDRO 503, COL. FUENTES DEL VALLE, SAN PEDRO GARZA GARCÍA, NUEVO LEÓN, C.P. 66224</t>
  </si>
  <si>
    <t>BRAYAN ABELARDO SILVA HERRERA</t>
  </si>
  <si>
    <t>BSilva@NEUROCYTONIX.COM</t>
  </si>
  <si>
    <t>(81) 3552 7403</t>
  </si>
  <si>
    <t xml:space="preserve">Fecha SIN día, solo MES Y AÑO (Ej. 2025-DIC 2026-DIC) , es a 6 meses </t>
  </si>
  <si>
    <t>STARION EV MEXICO</t>
  </si>
  <si>
    <t>AVE. LA CONCORDIA #6095, PARQUE INDUSTRIAL EL SABINAL, APODACA, NUEVO LEÓN, C.P. 66648</t>
  </si>
  <si>
    <t>RICARDO JARAMILLO</t>
  </si>
  <si>
    <t>RICARDO.A@STARION.CO.KR</t>
  </si>
  <si>
    <t>(81) 1648 5368</t>
  </si>
  <si>
    <t>MAQUINARIA DOGA SA DE CV</t>
  </si>
  <si>
    <t>PUERTO VALLARTA 684, LA FE, ALFONSO ACEVEDO</t>
  </si>
  <si>
    <t>ALFONSO ACEVEDO</t>
  </si>
  <si>
    <t>PROYECTOS.DOGA21@GMAIL.COM</t>
  </si>
  <si>
    <t>(81) 8144 1100</t>
  </si>
  <si>
    <t xml:space="preserve">ACCEL LOGISTICA </t>
  </si>
  <si>
    <t>AV. LERDO DE TEJADA 777, COL. TABACHINES, SAN NICOLÁS DE LOS GARZA</t>
  </si>
  <si>
    <t>NA@NA</t>
  </si>
  <si>
    <t>STUCKI DE MÉXICO</t>
  </si>
  <si>
    <t>DE LOS ANDES 200, COYOACÁN, MONTERREY, NUEVO LEÓN, C.P. 64510</t>
  </si>
  <si>
    <t>BENJAMIN RODRIGUEZ</t>
  </si>
  <si>
    <t>BENJAMIN.RODRIGUEZ@STUCKI.MX</t>
  </si>
  <si>
    <t>(81) 1127 2896</t>
  </si>
  <si>
    <t>EQUIPO AUTOMOTRIZ AMERICANA S.A. DE C.V. (JOYSON)</t>
  </si>
  <si>
    <t>Carretera a Santa Rosa km 3.5 Apodaca, N.L.</t>
  </si>
  <si>
    <t>Ing. Manuel Sustaita</t>
  </si>
  <si>
    <t>Manuel.Sustaita@joysonsafety.com</t>
  </si>
  <si>
    <t>(81) 8018 4875</t>
  </si>
  <si>
    <t>MAQUINADOS INDUSTRIALES TAMEZ SA DE CV</t>
  </si>
  <si>
    <t>BOSTON, 410, FRACCIONAMIENTO KENNEDY, MONTERREY, NUEVO LEÓN, C.P. 64260</t>
  </si>
  <si>
    <t>NICOLAS PACHECO</t>
  </si>
  <si>
    <t>CALIDAD@MITSACNC.COM</t>
  </si>
  <si>
    <t>(81) 8376 5628</t>
  </si>
  <si>
    <t>PRIVADA ANDRES GUAJARDO #360 APODACA</t>
  </si>
  <si>
    <t>ING JOSE GARCIA</t>
  </si>
  <si>
    <t>JG5443@NORTHAMERICANSTAINLESS.COM</t>
  </si>
  <si>
    <t>(81) 1253 7700</t>
  </si>
  <si>
    <t>JOHNSON CONTROLS PLANTA 2</t>
  </si>
  <si>
    <t xml:space="preserve">BLVD TLC #30 </t>
  </si>
  <si>
    <t>EMMANUEL RUIZ OYERVIDES</t>
  </si>
  <si>
    <t>EMMANUEL.RUIZ.OYERVIDES@JCI.COM</t>
  </si>
  <si>
    <t>(81) 1822 8828</t>
  </si>
  <si>
    <t>GEMINI PLASTICS DE MEXICO</t>
  </si>
  <si>
    <t>CARRETERA SALTILLO ZACATECAS KM 4.5 SN, NAVE 39, 40 Y 41, SALTILLO, COAHUILA, MÉXICO, C.P. 25315</t>
  </si>
  <si>
    <t>ING. RAUL RODRIGUEZ</t>
  </si>
  <si>
    <t>RALEJANDROCERDARODRIGUEZ@GEMINIGROUP.NET</t>
  </si>
  <si>
    <t>(84) 4401 0025</t>
  </si>
  <si>
    <t>AV. PARQUE INDUSTRIAL MONTERREY  #600A</t>
  </si>
  <si>
    <t>RUTH CRUZ</t>
  </si>
  <si>
    <t>ACALIDAD@TAESUNGMEXICO.COM.MX</t>
  </si>
  <si>
    <t>MAQPLASTICS@GMAIL.COM</t>
  </si>
  <si>
    <t>(81) 8989 5588</t>
  </si>
  <si>
    <t>(81) 1172 0603</t>
  </si>
  <si>
    <t>SMURFIT KAPPA MONTERREY PACKAGING SOLUTIONS</t>
  </si>
  <si>
    <t>BLVD. APODACA 902 TECHNOLOGY PARK, APODACA, NUEVO LEÓN, C.P. 66600</t>
  </si>
  <si>
    <t xml:space="preserve">FRANCISCO GERARDO BARRON </t>
  </si>
  <si>
    <t>FRANCISCO.BARRON@SMURFITWESTROCK.COM</t>
  </si>
  <si>
    <t>(81) 2188 5300</t>
  </si>
  <si>
    <t>MX.COMPRAS@ASSYMEXMTY.COM</t>
  </si>
  <si>
    <t>(81) 8182 7856</t>
  </si>
  <si>
    <t>DISEÑOS METÁLICOS JMH</t>
  </si>
  <si>
    <t>PRIVADA REGIOPARQUE, 111, REGIOPARQUE INDUSTRIAL, APODACA NUEVO LEÓN, 66600</t>
  </si>
  <si>
    <t>(81) 8073 1160</t>
  </si>
  <si>
    <t>JOHNSON CONTROL (STIVA 1)</t>
  </si>
  <si>
    <t>NAFTA NO. 825, APODACA, NUEVO LEÓN, C.P. 66626</t>
  </si>
  <si>
    <t>YORDI SANTIAGO TREVIÑO</t>
  </si>
  <si>
    <t>YORDI.SANTIAGO.TREVINO@JCI.COM</t>
  </si>
  <si>
    <t>(81) 1588 5046</t>
  </si>
  <si>
    <t>WBTL SALTILLO</t>
  </si>
  <si>
    <t>BLVD. EL PINAR NO. 7549, PARQUE ALIANZA, SALTILLO, COAHUILA, C.P. 25324</t>
  </si>
  <si>
    <t>ANA CRISTINA SOTO GARCÍA</t>
  </si>
  <si>
    <t>ANASOTO@BTL-AUTO.COM</t>
  </si>
  <si>
    <t>(84) 4330 6710</t>
  </si>
  <si>
    <t>HX INVESTMENT SA DE CV</t>
  </si>
  <si>
    <t>AV. PRINCIPAL #117, ROOTS INDUSTRIAL TECHNOLOGIES, MARIN, NUEVO LEON, C.P. 66700</t>
  </si>
  <si>
    <t>ALBERTO MIRAMONTES</t>
  </si>
  <si>
    <t>ALBERTO.ARCE@SDHXEM.COM</t>
  </si>
  <si>
    <t>También agregar correo "JESUSMTZ@SDHXEM.COM"</t>
  </si>
  <si>
    <t>ORIÓN #1463, INTERIOR 1-C, N/A, APODACA, NUEVO LEÓN, C.P.66600</t>
  </si>
  <si>
    <t>KMORENO@K-AND-S.COM</t>
  </si>
  <si>
    <t xml:space="preserve">(81) 8190 2505 </t>
  </si>
  <si>
    <t>SENIOR AEROSPACE MEXICO</t>
  </si>
  <si>
    <t>CARRETERA SALTILLO ZACATECAS KM 4.5 PARQUE INDUSTRIAL LA ANGOSTURA</t>
  </si>
  <si>
    <t>CRISTELA MENDOZA</t>
  </si>
  <si>
    <t>CMENDOZA@SENIORMEXICO.COM</t>
  </si>
  <si>
    <t>(84) 4411 6618</t>
  </si>
  <si>
    <t>CARRETERA MONTERREY LAREDO KM 16.5</t>
  </si>
  <si>
    <t>AURORA RETA</t>
  </si>
  <si>
    <t>AURORA.RETA@GRUPORYL.COM</t>
  </si>
  <si>
    <t>(81) 1078 5982</t>
  </si>
  <si>
    <t>MEXKET S. DE R.L. DE C.V.</t>
  </si>
  <si>
    <t>AV. INDUSTRIAS #509, COL. PARQUE INDUSTRIAL KRONOS, APODACA, NUEVO LEÓN, MÉXICO, C.P. 66603</t>
  </si>
  <si>
    <t>SERGIO GUAJARDO</t>
  </si>
  <si>
    <t>SERGIOGUAJARDO@KET.MX</t>
  </si>
  <si>
    <t>(81) 25 50 135</t>
  </si>
  <si>
    <t>GRUPO DELMEX SA DE CV</t>
  </si>
  <si>
    <t>LIBRAMIENTO NORESTE LOTE 2, SIN NOMBRE DE COL. 2, CD. GENERAL ESCOBEDO, N.L. C.P. 66062.</t>
  </si>
  <si>
    <t>ING. JORGE DE LA CRUZ</t>
  </si>
  <si>
    <t>CALIDAD6@DELMEX.MX</t>
  </si>
  <si>
    <t>(81) 3554 4054</t>
  </si>
  <si>
    <t>SPL MONTERREY</t>
  </si>
  <si>
    <t>AV ALFONSO REYES (PROLONGACION MANUEL L BARRAGAN) 310 - S, GENERAL ESCOBEDO, NUEVO LEÓN, C.P. 66058</t>
  </si>
  <si>
    <t>ANGEL CORTES</t>
  </si>
  <si>
    <t>ACORTES@ATEKCOMPANIES.COM</t>
  </si>
  <si>
    <t>MEXICO MRO MANAGEMENT S. DE R.L. DE C.V.</t>
  </si>
  <si>
    <t>Carr. Querétaro-Tequisquiapan 22500-A, 76270 Santiago de Querétaro, Qro.</t>
  </si>
  <si>
    <t>Ing. Wilfrido Nuñez</t>
  </si>
  <si>
    <t>JOSEW.NUNEZ@TECHOPS.MX</t>
  </si>
  <si>
    <t>(44) 2480 7334</t>
  </si>
  <si>
    <t>"No. De Parte" en lugar de Modelo, Datos de equipos iguales a listas proporcionadas por CLIENTE.</t>
  </si>
  <si>
    <t>RESONAC MATERIALS MÉXICO</t>
  </si>
  <si>
    <t>AVENIDA ENCINO 1020  MONTEMORELOS INDUSTRIAL PARK</t>
  </si>
  <si>
    <t>ING. EDUARDO MARTÍNEZ</t>
  </si>
  <si>
    <t>EDUARDO.MARTINEZ.MXYY@RESONAC.COM</t>
  </si>
  <si>
    <t>(82) 6131 5273</t>
  </si>
  <si>
    <t>ARZYZ - LA EMPRESA DE ALUMINIO EN MÉXICO</t>
  </si>
  <si>
    <t>CARR. CIÉNEGA DE FLORES, SALINAS VICTORA KM 5, COL. CIÉNEGA DE FLORES CENTRO, CIÉNEGA DE FLORES, NUE</t>
  </si>
  <si>
    <t>CESAR.LEAL@ARZYZ.COM</t>
  </si>
  <si>
    <t>(81) 2108 2356</t>
  </si>
  <si>
    <t>CALLE ORION 1463 INT.1, COLONIA SIN COLONIA, APODACA, NUEVO LEÓN, C.P. 66600</t>
  </si>
  <si>
    <t>ING. PATRICIO OCHOA</t>
  </si>
  <si>
    <t>POCHOA@K-AND-S.COM</t>
  </si>
  <si>
    <t>(81) 8190 2505</t>
  </si>
  <si>
    <t>BLVD. TLC 5063, PARQUE INDUSTRIAL MILENIUM, APODACA, NUEVO LEÓN, C.P. 66626</t>
  </si>
  <si>
    <t>SOFÍA FRANCO</t>
  </si>
  <si>
    <t>QUALITYMTY@BROMAKE.COM</t>
  </si>
  <si>
    <t>(81) 1088 8079</t>
  </si>
  <si>
    <t>GENTHERM MONTERREY II</t>
  </si>
  <si>
    <t>INNOVACIÓN NO.103 VYNMSA APODACA INDUSTRIAL PARK, APODACA, NUEVO LEON. C.P. 66628, MEXICO.</t>
  </si>
  <si>
    <t>MARCO VARGAS</t>
  </si>
  <si>
    <t>MARCO.VARGAS@GENTHERM.COM</t>
  </si>
  <si>
    <t>(81) 8600 9330</t>
  </si>
  <si>
    <t>En vigencia lleva nota de: "Ver programa de cliente"</t>
  </si>
  <si>
    <t>CARRIER MÉXICO, "PLANTA D"</t>
  </si>
  <si>
    <t>CARR. A VILLA DE GARCIA KM 3.5, PARQUE INDUSTRIAL FINSA 1, CD. SANTA CATARINA, NUEVO LEÓN, C.P. 6635</t>
  </si>
  <si>
    <t>ROLANDO GUTIERREZ QUIROZ</t>
  </si>
  <si>
    <t>ROLANDO.GUTIERREZ@CARRIER.COM</t>
  </si>
  <si>
    <t>INSTRUMENTS CALIBRATION &amp; SERVICES (INSCAL &amp; SERVICES)</t>
  </si>
  <si>
    <t>PASEO DE LA CAÑADA #158, COL. LAS FUENTES COLONIAL REYNOSA, TAMAULIPAS, C.P. 88703</t>
  </si>
  <si>
    <t>EORDUNA@INSCALSERVICES.COM</t>
  </si>
  <si>
    <t>(89) 9445 3504</t>
  </si>
  <si>
    <t>FRANKLIN ELECTRIC (GPE PLANTA 1)</t>
  </si>
  <si>
    <t>AVENIDA DE LOS LAGOS #1085,PARQUE INDUSTRIAL ACUEDUCTO, CIUDAD GUADALUPE, NUEVO LEÓN, MEXICO, C.P. 6</t>
  </si>
  <si>
    <t>BELLANIRA.AVALOS@FELE.COM</t>
  </si>
  <si>
    <t xml:space="preserve">(81) 8380 0039 </t>
  </si>
  <si>
    <t>PRODUCTOS LAMINADOS DE MONTERREY SA DE CV</t>
  </si>
  <si>
    <t>CARRETERA A COLOMBIA KM.5.75, GENERAL ESCOBEDO, NUEVO LEÓN</t>
  </si>
  <si>
    <t>ALEJANDRO JUAREZ</t>
  </si>
  <si>
    <t>(81) 8154 0200</t>
  </si>
  <si>
    <t>AV. LUIS DONALDO COLOSIO CALLE “E” #402, COL. DE LA COMUNIDAD DE LA EX HACIENDA SAN FRANCISCO, APODA</t>
  </si>
  <si>
    <t>CAROLINA VICTORIA GÁLVEZ CERVANTES</t>
  </si>
  <si>
    <t>CGALVEZ@MELTER.COM.MX</t>
  </si>
  <si>
    <t>(66) 8116 0970</t>
  </si>
  <si>
    <t>HARINERA MONTERREY</t>
  </si>
  <si>
    <t>AV. CRISTOBAL COLON 2313, COLONIA TALLERES, MONTERREY, NUEVO LEÓN, C.P. 64480</t>
  </si>
  <si>
    <t>JUAN CARLOS LOREDO</t>
  </si>
  <si>
    <t>JLOREDOH@GTRIMEX.MX</t>
  </si>
  <si>
    <t>(81) 8389 5900</t>
  </si>
  <si>
    <t>PANASONIC ENERGY MEXICO SA DE CV</t>
  </si>
  <si>
    <t>AV. SANTA BARBARA 601, EX EJIDO SAN NICOLAS</t>
  </si>
  <si>
    <t>YENSY VILLARINO</t>
  </si>
  <si>
    <t>YENSY.VILLARINO@MX.PANASONIC.COM</t>
  </si>
  <si>
    <t>(81) 8154 7100</t>
  </si>
  <si>
    <t>CARRIER MÉXICO SA DE CV (PLANTA F)</t>
  </si>
  <si>
    <t>PF99+W2, Finsa Santa Catarina, 66380 Parque Industrial Finsa Santa Catarina, Nuevo León</t>
  </si>
  <si>
    <t>Juan Treviño</t>
  </si>
  <si>
    <t>JuanHumberto.Trevino@carrier.com</t>
  </si>
  <si>
    <t>No especificados</t>
  </si>
  <si>
    <t>CAMINO A LAS PEDRERAS NO. 1250, S/C EJIDO SAN MIGUEL, ESCOBEDO, NUEVO LEÓN, C.P. 66050</t>
  </si>
  <si>
    <t>ING. JOSE LUIS ANGUIANO</t>
  </si>
  <si>
    <t>JANGUIANO@GRUPOMINCO.COM</t>
  </si>
  <si>
    <t xml:space="preserve">(81) 5000 4060 </t>
  </si>
  <si>
    <t>CELESTICA DE MONTERREY (EDIFICIO E)</t>
  </si>
  <si>
    <t>Celestica Agua Fría, Prologis Park Agua Fría, Carretera a Agua Fría No. 505, 66603 Nuevo Leon, N.L.</t>
  </si>
  <si>
    <t>(81) 8156 1501</t>
  </si>
  <si>
    <t>GUILLERMO SUAREZ</t>
  </si>
  <si>
    <t>COMPRASTME@TMEMAQUINADOS.COM.MX</t>
  </si>
  <si>
    <t>(81) 8331 4188</t>
  </si>
  <si>
    <t>CALLE DE LA INDUSTRIA # 2013, PARQUE INDUSTRIAL MILLENIUM, SANTA CATARINA, NUEVO LEÓN, C.P. 66357</t>
  </si>
  <si>
    <t>ALMA DELIA LÓPEZ</t>
  </si>
  <si>
    <t>ALMADELIA.LOPEZ@REGALREXNORD.COM</t>
  </si>
  <si>
    <t>(81) 1623 6510</t>
  </si>
  <si>
    <t>SW FOOD TECHNOLOGY</t>
  </si>
  <si>
    <t>AGUSTIN MELGAR 2319. COLONIA REFORMA, MONTERREY, NUEVO LEÓN, C.P. 64550</t>
  </si>
  <si>
    <t>ANABEL DE LA PORTILLA ZAMARRIPA</t>
  </si>
  <si>
    <t>ADELAPORTILLA@SWFOOD.COM.MX</t>
  </si>
  <si>
    <t xml:space="preserve">(81) 8115 0239 </t>
  </si>
  <si>
    <t>CALLE 55 SN, SAN CARLOS, CIUDAD DEL CARMEN, CAMPECHE, C.P. 24116</t>
  </si>
  <si>
    <t>MARISOL MENDOZA</t>
  </si>
  <si>
    <t>MARISOL.MENDOZA@QUALITECHRIM.COM</t>
  </si>
  <si>
    <t>(93) 8164 0969</t>
  </si>
  <si>
    <t>CELESTICA DE MONTERREY (MÉDICO)</t>
  </si>
  <si>
    <t>CALLE 8VA, PARQUE INDUSTRIAL MONTERREY 102, CD. APODACA, NUEVO LEÓN, C.P. 66600</t>
  </si>
  <si>
    <t>NANCY MONTERO</t>
  </si>
  <si>
    <t>NMONTERO@CELESTICA.COM</t>
  </si>
  <si>
    <t xml:space="preserve">(81) 8156 1500 </t>
  </si>
  <si>
    <t>Puntos y tolerancias de acuerdo a SCHEDULE compartido por el cliente, AGREGAR NOTA: "El equipo ha sido calibrado y es apto para su uso" ó "El equipo ha sido calibrado y no es apto para su uso", según corresponda.</t>
  </si>
  <si>
    <t>AV. ADOLFO LOPEZ MATEOS 221 - INT. 5, PARQUE INDUSTRIAL BOSQUES DEL SUR, COL. LA VICTORIA, GUADALUPE</t>
  </si>
  <si>
    <t>ING. ANDREA SALAZAR/ ING. JAVIER NIÑO</t>
  </si>
  <si>
    <t>ANDREA.SALAZAR@BYSTROM.COM.MX</t>
  </si>
  <si>
    <t>(81) 2755 7359</t>
  </si>
  <si>
    <t>Agregar también correo CALIDAD.BYSTROM@GMAIL.COM</t>
  </si>
  <si>
    <t>GRACO MEXICANA SA DE CV</t>
  </si>
  <si>
    <t>PRIV GUAJARDO S/N, APODACA, NUEVO LEÓN, C.P. 66600</t>
  </si>
  <si>
    <t>SERGIO POZOS HERNÁNDEZ</t>
  </si>
  <si>
    <t>CALIDAD1@GRACO.COM.MX</t>
  </si>
  <si>
    <t xml:space="preserve">(81) 8196 9696 </t>
  </si>
  <si>
    <t>AV. INDUSTRIA 101, PARQUE INDUSTRIAL VYMNSA, SECTOR II, C.P. 25904, RAMOS ARIZPE, COAHUILA</t>
  </si>
  <si>
    <t>ECERVANTES@HSAM.MX</t>
  </si>
  <si>
    <t>(84) 4309 0100</t>
  </si>
  <si>
    <t>DIEGO ALBERTO TORRES MARTINEZ</t>
  </si>
  <si>
    <t>DIEGO.TORRES@STARION.CO.KR</t>
  </si>
  <si>
    <t>(81) 2015 3196</t>
  </si>
  <si>
    <t>VILLAREAL DIVISION EQUIPOS</t>
  </si>
  <si>
    <t>CALLE MORELOS SUR NO. 905 CENTRO ALLENDE, NUEVO LEÓN</t>
  </si>
  <si>
    <t>RICARDO ANTONIO ROQUE RODRÍGUEZ</t>
  </si>
  <si>
    <t>ricardo.roque.r@vde.com.mx</t>
  </si>
  <si>
    <t>(82) 6171 8924</t>
  </si>
  <si>
    <t>AV. PROL. ADOLFO LOPEZ MATEOS NO. 500 COL VILLA DE SAN MIGUEL, GUADALUPE, NUEVO LEÓN</t>
  </si>
  <si>
    <t>CALIDAD.ARSTAR@ARSTARINC.COM</t>
  </si>
  <si>
    <t>(81) 1431 1770</t>
  </si>
  <si>
    <t>INCLUIR TAMBIEN CORREO "MEJORA.CONTINUA@ARSTARINC.COM"</t>
  </si>
  <si>
    <t>CNC INDUSTRIAL,  SA DE  CV</t>
  </si>
  <si>
    <t>CARR. LIBRE MTY. COLOMBIA Km. 10.1, EJIDO SAN NICOLAS, SALINAS VICTORIA, N.L.</t>
  </si>
  <si>
    <t>DANIEL SAUCEDO</t>
  </si>
  <si>
    <t>DANIELSAUCEDO@CNCINDUSTRIAL.COM.MX</t>
  </si>
  <si>
    <t>(81 ) 8384 0532</t>
  </si>
  <si>
    <t>CAMINO A LOS BORREGOS, LOTE D, MONTERREY TECHNOLOGY PARK, CIÉNEGA DE FLORES, NUEVO LEÓN, C.P. 65550</t>
  </si>
  <si>
    <t>BERENISSE HERNANDEZ</t>
  </si>
  <si>
    <t>BHERNANDEZ@TOTOMAK.COM.MX</t>
  </si>
  <si>
    <t>(81) 1971 1086</t>
  </si>
  <si>
    <t>AV. BOB PHILLIPS, COL. EL LLANO #1003</t>
  </si>
  <si>
    <t>EZEQUIEL LOPEZ</t>
  </si>
  <si>
    <t>ELOPEZ@PHILLIPSIND.COM</t>
  </si>
  <si>
    <t>(84) 4986 9200</t>
  </si>
  <si>
    <t>GENTHERM MONTERREY S.A. DE C.V.</t>
  </si>
  <si>
    <t>AV. KALOS NO.108, PARQUE INDUSTRIAL KALOS, APODACA NUEVO LEÓN, CP.66603</t>
  </si>
  <si>
    <t xml:space="preserve"> (81) 1247 5500 </t>
  </si>
  <si>
    <t>CARRIER MÉXICO PLANTA E</t>
  </si>
  <si>
    <t>AVE. FINSA NO. 3196, PARQUE INDUSTRIAL FINSA, SANTA CATARINA, NUEVO LEÓN, C.P. 66350</t>
  </si>
  <si>
    <t xml:space="preserve"> ING. ELEASER VAZQUEZ</t>
  </si>
  <si>
    <t>ELEASER.VAZQUEZ@CARRIER.COM</t>
  </si>
  <si>
    <t>(81) 8124 7600</t>
  </si>
  <si>
    <t>AV.EL SABINAL #200,PARQUE IND. EL SABINALA APODACA NUEVO LEÓN, C.P. 66645</t>
  </si>
  <si>
    <t>JACOBO.AGUILAR@VOESTALPINE.COM</t>
  </si>
  <si>
    <t>(81) 8000 7866</t>
  </si>
  <si>
    <t>EQUIPOS DE CARBURACIÓN SATÉLITE</t>
  </si>
  <si>
    <t>CARR. MTY-LAREDO KM. 37, PARQUE IND. CIÉNEGA DE FLORES, CIÉNEGA DE FLORES, NUEVO LEÓN, C.P. 65550</t>
  </si>
  <si>
    <t>RAUL DE LA GARZA/NANCY VALVERDE</t>
  </si>
  <si>
    <t>RAULDELAGARZA@SATELITEMX.COM</t>
  </si>
  <si>
    <t>(81) 1635 8849</t>
  </si>
  <si>
    <t>Agregar también correo NANCYVALVERDE@SATELITEMX.COM</t>
  </si>
  <si>
    <t>DESAY SV DE MEXICO</t>
  </si>
  <si>
    <t>MIGUEL ALEMAN 2455-10, APODACA, NUEVO LEÓN, C.P. 66600</t>
  </si>
  <si>
    <t>YE JIHUAN</t>
  </si>
  <si>
    <t>JIHUAN.YE@DESAYSV.COM</t>
  </si>
  <si>
    <t>(81) 1090 6705</t>
  </si>
  <si>
    <t>INDUSTRIAS ELECTRONICAS PACIFICO SA DE CV PLANTA 2</t>
  </si>
  <si>
    <t>NAFTA 850, PARQUE INDUSTRIAL STIVA, APODACA, NUEVO LEÓN, C.P. 66600</t>
  </si>
  <si>
    <t>JOSE DE JESÚS ALVAREZ</t>
  </si>
  <si>
    <t>JESUS.ALVAREZ@SE.COM</t>
  </si>
  <si>
    <t>KB MANUFACTURING SA DE CV</t>
  </si>
  <si>
    <t>CAMINO A RIO LA SILLA #502 COL. SAN SEBASTIAN, GUADALUPE, NUEVO LEÓN</t>
  </si>
  <si>
    <t>FERNANDO SALAS</t>
  </si>
  <si>
    <t>PLANEACION@KBMANUFACTURING.COM.MX</t>
  </si>
  <si>
    <t>(81) 9244 0811</t>
  </si>
  <si>
    <t>TUD GRUPO COMERCIAL  S.A. DE C.V.</t>
  </si>
  <si>
    <t>PRIVADA REGIA #102 REGIO PARQUE INDUSTRIAL, APODACA, NUEVO LEÓN</t>
  </si>
  <si>
    <t>JUVENTINO FLORES</t>
  </si>
  <si>
    <t>TINOFLORES@TUD.COM.MX</t>
  </si>
  <si>
    <t>(81) 1638 1130</t>
  </si>
  <si>
    <t>MARUEI DE MEXICO SA DE CV</t>
  </si>
  <si>
    <t>MEXICO 202, PARQUE INDUSTRIAL HUINALA, APODACA, NUEVO LEÓN, C.P. 66645</t>
  </si>
  <si>
    <t>ALFREDO MARTINEZ</t>
  </si>
  <si>
    <t>ALFREDOMARTINEZ@MARLEYPRECISION.COM</t>
  </si>
  <si>
    <t>(81) 8196 9200</t>
  </si>
  <si>
    <t>CESAR.SANCHEZ@KE-ELEKTRONIK.DE</t>
  </si>
  <si>
    <t>(81) 2594 1236</t>
  </si>
  <si>
    <t xml:space="preserve">DECADA 5008 PARQUE INDUSTRAL MILLENIUM, APODACA, NUEVO LEÓN </t>
  </si>
  <si>
    <t>JAAZIEL RIVAS AGUILAR</t>
  </si>
  <si>
    <t>JAARIV@PYROTEK.COM</t>
  </si>
  <si>
    <t>(81) 1247 7982</t>
  </si>
  <si>
    <t>METRIC WORKS SALTILLO</t>
  </si>
  <si>
    <t>AV. INDUSTRIA AUTOMOTRIZ 6040-C, PARQUE INDUSTRIAL RAMOS ARIZPE</t>
  </si>
  <si>
    <t>CARLOS ROSALES</t>
  </si>
  <si>
    <t>IBARRATORRES@MESINC.NET</t>
  </si>
  <si>
    <t>(84) 4159 5116</t>
  </si>
  <si>
    <t>AUTOPISTA AL AEROPUERTO #1111, COL. NEXXUS, GUADALUPE, NUEVO LEÓN</t>
  </si>
  <si>
    <t>(81) 8851 4300</t>
  </si>
  <si>
    <t>TECHNOLOGY PARK, BLVD. APODACA 902, CD. APODACA, NUEVO LEÓN, C.P. 66600</t>
  </si>
  <si>
    <t>ING. FRANCISCO GERARDO BARRON</t>
  </si>
  <si>
    <t>(81) 1156 2200</t>
  </si>
  <si>
    <t>AVENIDA SAN NICOLAS 3550 COLONIA DEL NORTE MONTERREY,  NUEVO LEÓN, CP 64500</t>
  </si>
  <si>
    <t>LABORATORIO@TECNOTRAT.COM.MX</t>
  </si>
  <si>
    <t>(81) 8351 3112</t>
  </si>
  <si>
    <t>CALIDAD@RGFOODS.COM.MX</t>
  </si>
  <si>
    <t>(86) 7745 5895</t>
  </si>
  <si>
    <t>HAKKAI MÉXICO</t>
  </si>
  <si>
    <t>BOULEVARD MILENIUM NO. 5020 B, PARQUE INDUSTRIAL MILENIUM, CD. APODACA, NUEVO LEÓN, C.P 66626</t>
  </si>
  <si>
    <t>Griselda Castro</t>
  </si>
  <si>
    <t>griselda.castro@hakkai.mx</t>
  </si>
  <si>
    <t>8125166571</t>
  </si>
  <si>
    <t>COOPER STANDARD AUTOMOTIVE</t>
  </si>
  <si>
    <t>CARRETERA SALTILLO-ZACATECAS KM 4.5, PARQUE INDUSTRIAL LA ANGOSTURA, SALITLLO, COAHUILA, MÉXICO, C.P</t>
  </si>
  <si>
    <t>JUAN ESPARZA</t>
  </si>
  <si>
    <t>JESPARZA@COOPERSTANDARD.COM</t>
  </si>
  <si>
    <t>(84) 4411 6322</t>
  </si>
  <si>
    <t xml:space="preserve">Agregar también correo "GGARCIA2@COOPERSTANDARD.COM"
</t>
  </si>
  <si>
    <t>AV. PABLO LIVAS # 4211, GUADALUPE VICTORIA, GUADALUPE, NUEVO LEÓN, C.P. 67180</t>
  </si>
  <si>
    <t>JOSE_H@EVCOPLASTICS.COM.MX</t>
  </si>
  <si>
    <t>(81) 8393 4455</t>
  </si>
  <si>
    <t xml:space="preserve">CELAYA 322 COL. MITRAS CENTRO, MONTERREY, NUEVO LEÓN, MÉXICO, C.P. 64460 </t>
  </si>
  <si>
    <t>MARCO.FLORES@I-PHARMA.COM.MX</t>
  </si>
  <si>
    <t>(81) 8348 7843</t>
  </si>
  <si>
    <t>COAVIS DE MEXICO SA DE CV</t>
  </si>
  <si>
    <t>DESARROLLO INDUSTRIAL GP TECNOCENTRO, CARR. MONTERREY-NUEVO LAREDO KM 12.9, CD. GRAL ESCOBEDO, NUEVO</t>
  </si>
  <si>
    <t>VICTOR FLORES</t>
  </si>
  <si>
    <t>VICTOR.FLORES@COAVIS.COM</t>
  </si>
  <si>
    <t>(81) 1981 2805</t>
  </si>
  <si>
    <t>DIEGO DÍAZ DE BERLANGA, SAN NICOLÁS DE LOS GARZA, NUEVO LEÓN, MÉXICO, C.P. 66480</t>
  </si>
  <si>
    <t>(81) 8305 3734</t>
  </si>
  <si>
    <t>IMMI DE MÉXICO PRODUCTION S DE RL DE CV</t>
  </si>
  <si>
    <t>BLVD. CESAR H CANTU #176, PARQUE INDUSTRIAL ALIANZA, CP 25300, COAHUILA SALTILLO,</t>
  </si>
  <si>
    <t>ING ANTONIO GUERRERO</t>
  </si>
  <si>
    <t>AGUERRERO@IMMINET.COM</t>
  </si>
  <si>
    <t>(84) 4454 8900</t>
  </si>
  <si>
    <t>AFL TELECOMUNICACIONES DE MÉXICO</t>
  </si>
  <si>
    <t>Boulevard Milenium 6001, Interior A Parque Industrial Milenium, Apodaca, Nuevo León, México, C.P. 66626</t>
  </si>
  <si>
    <t>Erika Rodríguez</t>
  </si>
  <si>
    <t>erikaguadalupe.rodriguez@aflglobal.com</t>
  </si>
  <si>
    <t>81 8196 3500</t>
  </si>
  <si>
    <t>Vigencia 1 Año</t>
  </si>
  <si>
    <t>MARSTO PRECISION INSTRUMENTS DE MÉXICO, S DE R L DE CV</t>
  </si>
  <si>
    <t>CARRETERA A AGUA FRÍA LIBRE ESTATAL NO. 499 EDIFICIO AF2, PROLOGIS PARK AGUA FRÍA, APODACA, NUEVO LE</t>
  </si>
  <si>
    <t>CESAR J. QUIROGA ARIZPE</t>
  </si>
  <si>
    <t>CESAR.QUIROGA@MARSTO.COM.MX</t>
  </si>
  <si>
    <t>(81) 1089 4020</t>
  </si>
  <si>
    <t>CELESTICA DE MONTERREY (ESTANDARD)</t>
  </si>
  <si>
    <t>HILARIO VALDEZ</t>
  </si>
  <si>
    <t>CALIDAD@SERVICIOSGR.COM.MX</t>
  </si>
  <si>
    <t>(81) 8099 1520</t>
  </si>
  <si>
    <t>MOTORES ELÉCTRICOS SUMERGIBLES DE MÉXICO S DE RL DE CV</t>
  </si>
  <si>
    <t>AV. INDUSTRIA ALIMENTARIA # 2001, PARQUE INDUSTRIAL LINARES,LINARES, NUEVO LEÓN, MÉXICO, C.P. 67735</t>
  </si>
  <si>
    <t>(82) 1214 0300</t>
  </si>
  <si>
    <t>AGP-0100-26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</si>
</sst>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0\ "/>
    <numFmt numFmtId="165" formatCode="0.00000\ "/>
    <numFmt numFmtId="166" formatCode="000\ &quot;hPa&quot;"/>
    <numFmt numFmtId="167" formatCode="yyyy\-mmm\-dd"/>
    <numFmt numFmtId="168" formatCode="0\ &quot;°C&quot;"/>
    <numFmt numFmtId="169" formatCode="0\ &quot;%&quot;"/>
    <numFmt numFmtId="170" formatCode="0.0%"/>
    <numFmt numFmtId="171" formatCode="yyyy\-mm\-dd"/>
    <numFmt numFmtId="172" formatCode="\ \(\ 0\ \)"/>
    <numFmt numFmtId="173" formatCode="0.000"/>
    <numFmt numFmtId="174" formatCode="0.0000"/>
    <numFmt numFmtId="175" formatCode="\+0.000"/>
    <numFmt numFmtId="176" formatCode="\-0.000"/>
    <numFmt numFmtId="177" formatCode="0.0"/>
    <numFmt numFmtId="178" formatCode="\±\ 0.00"/>
    <numFmt numFmtId="179" formatCode="0.0\ &quot;°C&quot;"/>
    <numFmt numFmtId="180" formatCode="\±\ 0.000"/>
    <numFmt numFmtId="181" formatCode="\±\ 0.0"/>
    <numFmt numFmtId="182" formatCode="0.0E+00"/>
    <numFmt numFmtId="183" formatCode="0.0000\ &quot;%&quot;"/>
    <numFmt numFmtId="184" formatCode="\-0.00"/>
    <numFmt numFmtId="185" formatCode="0.00000"/>
    <numFmt numFmtId="186" formatCode="0.0\ &quot;psi&quot;"/>
    <numFmt numFmtId="187" formatCode="0\ &quot;psi&quot;"/>
    <numFmt numFmtId="188" formatCode="0\ &quot;% H. R.&quot;"/>
    <numFmt numFmtId="189" formatCode="0.00000%"/>
    <numFmt numFmtId="190" formatCode="0.00000000"/>
    <numFmt numFmtId="191" formatCode="0.0000000"/>
    <numFmt numFmtId="192" formatCode="0.00\ &quot;psi&quot;"/>
    <numFmt numFmtId="193" formatCode="0.0\ %"/>
  </numFmts>
  <fonts count="93">
    <font>
      <sz val="11"/>
      <color theme="1"/>
      <name val="Calibri"/>
      <family val="2"/>
      <scheme val="minor"/>
    </font>
    <font>
      <sz val="11"/>
      <color theme="1"/>
      <name val="Overlock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22"/>
      <color theme="1"/>
      <name val="Overlock"/>
    </font>
    <font>
      <sz val="12"/>
      <color theme="1"/>
      <name val="Overlock"/>
    </font>
    <font>
      <sz val="18"/>
      <color theme="1"/>
      <name val="Overlock"/>
    </font>
    <font>
      <b/>
      <sz val="12"/>
      <color theme="1"/>
      <name val="Overlock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theme="1"/>
      <name val="Overlock"/>
    </font>
    <font>
      <b/>
      <sz val="14"/>
      <color theme="1"/>
      <name val="Overlock"/>
    </font>
    <font>
      <b/>
      <sz val="10"/>
      <color theme="1"/>
      <name val="Overlock"/>
    </font>
    <font>
      <sz val="10"/>
      <color theme="1"/>
      <name val="Overlock"/>
    </font>
    <font>
      <sz val="12"/>
      <color theme="1"/>
      <name val="Calibri"/>
      <family val="2"/>
    </font>
    <font>
      <sz val="11"/>
      <color theme="0"/>
      <name val="Overlock"/>
    </font>
    <font>
      <sz val="28"/>
      <color rgb="FFFF0000"/>
      <name val="Overlock"/>
    </font>
    <font>
      <sz val="8"/>
      <color theme="1"/>
      <name val="Overlock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u/>
      <sz val="10"/>
      <color theme="1"/>
      <name val="Arial"/>
      <family val="2"/>
    </font>
    <font>
      <sz val="6"/>
      <color theme="1"/>
      <name val="Arial"/>
      <family val="2"/>
    </font>
    <font>
      <sz val="9"/>
      <color theme="1"/>
      <name val="Overlock"/>
    </font>
    <font>
      <b/>
      <sz val="8"/>
      <color theme="1"/>
      <name val="Overlock"/>
    </font>
    <font>
      <sz val="22"/>
      <color rgb="FFD8D8D8"/>
      <name val="Calibri"/>
      <family val="2"/>
    </font>
    <font>
      <sz val="7"/>
      <color theme="1"/>
      <name val="Overlock"/>
    </font>
    <font>
      <sz val="21"/>
      <color theme="1"/>
      <name val="Overlock"/>
    </font>
    <font>
      <b/>
      <sz val="16"/>
      <color theme="1"/>
      <name val="Overlock"/>
    </font>
    <font>
      <sz val="12"/>
      <name val="Overlock"/>
    </font>
    <font>
      <b/>
      <sz val="14"/>
      <name val="Overlock"/>
    </font>
    <font>
      <sz val="12"/>
      <color theme="0"/>
      <name val="Overlock"/>
    </font>
    <font>
      <b/>
      <sz val="14"/>
      <color theme="0"/>
      <name val="Overlock"/>
    </font>
    <font>
      <u/>
      <sz val="12"/>
      <color theme="1"/>
      <name val="Overlock"/>
    </font>
    <font>
      <b/>
      <sz val="40"/>
      <color theme="1"/>
      <name val="Calibri"/>
      <family val="2"/>
    </font>
    <font>
      <b/>
      <sz val="3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BFBFBF"/>
      <name val="Overlock"/>
    </font>
    <font>
      <b/>
      <sz val="20"/>
      <color theme="1"/>
      <name val="Overlock"/>
    </font>
    <font>
      <b/>
      <sz val="20"/>
      <color theme="0"/>
      <name val="Overlock"/>
    </font>
    <font>
      <sz val="16"/>
      <color theme="8"/>
      <name val="Overlock"/>
    </font>
    <font>
      <sz val="16"/>
      <color theme="1"/>
      <name val="Calibri"/>
      <family val="2"/>
    </font>
    <font>
      <u/>
      <sz val="16"/>
      <color theme="10"/>
      <name val="Overlock"/>
    </font>
    <font>
      <sz val="16"/>
      <color theme="1"/>
      <name val="Overlock"/>
    </font>
    <font>
      <sz val="25"/>
      <color theme="1"/>
      <name val="Calibri"/>
      <family val="2"/>
    </font>
    <font>
      <b/>
      <u/>
      <sz val="16"/>
      <color theme="1"/>
      <name val="Overlock"/>
    </font>
    <font>
      <b/>
      <sz val="25"/>
      <color theme="1"/>
      <name val="Calibri"/>
      <family val="2"/>
    </font>
    <font>
      <b/>
      <sz val="18"/>
      <color theme="0"/>
      <name val="Overlock"/>
    </font>
    <font>
      <b/>
      <u/>
      <sz val="20"/>
      <color theme="1"/>
      <name val="Overlock"/>
    </font>
    <font>
      <b/>
      <sz val="18"/>
      <color theme="8"/>
      <name val="Overlock"/>
    </font>
    <font>
      <b/>
      <sz val="30"/>
      <color theme="1"/>
      <name val="Overlock"/>
    </font>
    <font>
      <b/>
      <u/>
      <sz val="35"/>
      <color theme="1"/>
      <name val="Overlock"/>
    </font>
    <font>
      <b/>
      <sz val="40"/>
      <color theme="1"/>
      <name val="Overlock"/>
    </font>
    <font>
      <b/>
      <sz val="18"/>
      <color theme="1"/>
      <name val="Overlock"/>
    </font>
    <font>
      <sz val="18"/>
      <color theme="1"/>
      <name val="Calibri"/>
      <family val="2"/>
    </font>
    <font>
      <b/>
      <sz val="18"/>
      <color rgb="FFFFFFFF"/>
      <name val="Overlock"/>
    </font>
    <font>
      <b/>
      <sz val="25"/>
      <color theme="1"/>
      <name val="Overlock"/>
    </font>
    <font>
      <sz val="22"/>
      <color theme="1"/>
      <name val="Calibri"/>
      <family val="2"/>
    </font>
    <font>
      <b/>
      <sz val="16"/>
      <color rgb="FFF2F2F2"/>
      <name val="Overlock"/>
    </font>
    <font>
      <b/>
      <sz val="15"/>
      <color theme="1"/>
      <name val="Calibri"/>
      <family val="2"/>
    </font>
    <font>
      <b/>
      <sz val="22"/>
      <color theme="1"/>
      <name val="Overlock"/>
    </font>
    <font>
      <b/>
      <sz val="25"/>
      <color theme="0"/>
      <name val="Overlock"/>
    </font>
    <font>
      <sz val="25"/>
      <color theme="1"/>
      <name val="Overlock"/>
    </font>
    <font>
      <b/>
      <sz val="25"/>
      <color rgb="FFF2F2F2"/>
      <name val="Overlock"/>
    </font>
    <font>
      <b/>
      <sz val="16"/>
      <color theme="0"/>
      <name val="Overlock"/>
    </font>
    <font>
      <sz val="16"/>
      <color theme="0"/>
      <name val="Calibri"/>
      <family val="2"/>
    </font>
    <font>
      <sz val="16"/>
      <color rgb="FFF2F2F2"/>
      <name val="Overlock"/>
    </font>
    <font>
      <sz val="11"/>
      <color theme="0"/>
      <name val="Calibri"/>
      <family val="2"/>
    </font>
    <font>
      <sz val="16"/>
      <color theme="1"/>
      <name val="Quattrocento Sans"/>
      <family val="2"/>
    </font>
    <font>
      <sz val="11"/>
      <color theme="1"/>
      <name val="Quattrocento Sans"/>
      <family val="2"/>
    </font>
    <font>
      <b/>
      <sz val="11"/>
      <color theme="1"/>
      <name val="Quattrocento Sans"/>
      <family val="2"/>
    </font>
    <font>
      <b/>
      <sz val="18"/>
      <color theme="0"/>
      <name val="Calibri"/>
      <family val="2"/>
    </font>
    <font>
      <b/>
      <sz val="12"/>
      <color theme="0"/>
      <name val="Calibri"/>
      <family val="2"/>
    </font>
    <font>
      <b/>
      <sz val="30"/>
      <color theme="1"/>
      <name val="Calibri"/>
      <family val="2"/>
    </font>
    <font>
      <b/>
      <sz val="13"/>
      <color theme="1"/>
      <name val="Calibri"/>
      <family val="2"/>
    </font>
    <font>
      <b/>
      <sz val="18"/>
      <color theme="1"/>
      <name val="Calibri"/>
      <family val="2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20"/>
      <color theme="1"/>
      <name val="Calibri"/>
      <family val="2"/>
    </font>
    <font>
      <b/>
      <sz val="13"/>
      <color rgb="FFE7E6E6"/>
      <name val="Calibri"/>
      <family val="2"/>
    </font>
    <font>
      <sz val="11"/>
      <color rgb="FF3F3F3F"/>
      <name val="Calibri"/>
      <family val="2"/>
    </font>
    <font>
      <u/>
      <sz val="11"/>
      <color theme="1"/>
      <name val="Calibri"/>
      <family val="2"/>
    </font>
    <font>
      <sz val="11"/>
      <color rgb="FF1F1F1F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Maiandra GD"/>
      <family val="2"/>
    </font>
    <font>
      <sz val="11"/>
      <color theme="1"/>
      <name val="Maiandra GD"/>
      <family val="2"/>
    </font>
    <font>
      <b/>
      <sz val="25"/>
      <color theme="1"/>
      <name val="Symbol"/>
      <family val="1"/>
      <charset val="2"/>
    </font>
    <font>
      <b/>
      <sz val="11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2E75B5"/>
        <bgColor rgb="FF2E75B5"/>
      </patternFill>
    </fill>
    <fill>
      <patternFill patternType="solid">
        <fgColor rgb="FF193F8B"/>
        <bgColor rgb="FF193F8B"/>
      </patternFill>
    </fill>
    <fill>
      <patternFill patternType="solid">
        <fgColor rgb="FFDEEAF6"/>
        <bgColor rgb="FFDEEAF6"/>
      </patternFill>
    </fill>
    <fill>
      <patternFill patternType="solid">
        <fgColor rgb="FF8496B0"/>
        <bgColor rgb="FF8496B0"/>
      </patternFill>
    </fill>
    <fill>
      <patternFill patternType="solid">
        <fgColor rgb="FF2F5496"/>
        <bgColor rgb="FF2F5496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4" tint="0.39997558519241921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ADB9CA"/>
        <bgColor rgb="FFADB9CA"/>
      </patternFill>
    </fill>
    <fill>
      <patternFill patternType="solid">
        <fgColor rgb="FF333F4F"/>
        <bgColor rgb="FF333F4F"/>
      </patternFill>
    </fill>
    <fill>
      <patternFill patternType="solid">
        <fgColor rgb="FF171616"/>
        <bgColor rgb="FF171616"/>
      </patternFill>
    </fill>
    <fill>
      <patternFill patternType="solid">
        <fgColor rgb="FFF2F2F2"/>
        <bgColor rgb="FFF2F2F2"/>
      </patternFill>
    </fill>
    <fill>
      <patternFill patternType="solid">
        <fgColor rgb="FF7B7B7B"/>
        <bgColor rgb="FF7B7B7B"/>
      </patternFill>
    </fill>
    <fill>
      <patternFill patternType="solid">
        <fgColor rgb="FF0C0C0C"/>
        <bgColor rgb="FF0C0C0C"/>
      </patternFill>
    </fill>
    <fill>
      <patternFill patternType="solid">
        <fgColor rgb="FFECF0F8"/>
        <bgColor rgb="FFECF0F8"/>
      </patternFill>
    </fill>
  </fills>
  <borders count="80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/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/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/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/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F5496"/>
      </left>
      <right style="thin">
        <color rgb="FF2F5496"/>
      </right>
      <top/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/>
      <diagonal/>
    </border>
    <border>
      <left style="hair">
        <color rgb="FF2F5496"/>
      </left>
      <right style="hair">
        <color rgb="FF2F5496"/>
      </right>
      <top style="hair">
        <color rgb="FF2F5496"/>
      </top>
      <bottom style="hair">
        <color rgb="FF2F5496"/>
      </bottom>
      <diagonal/>
    </border>
    <border>
      <left style="hair">
        <color rgb="FF2F5496"/>
      </left>
      <right style="hair">
        <color rgb="FF2F5496"/>
      </right>
      <top/>
      <bottom style="hair">
        <color rgb="FF2F5496"/>
      </bottom>
      <diagonal/>
    </border>
    <border>
      <left style="hair">
        <color rgb="FF2F5496"/>
      </left>
      <right style="hair">
        <color rgb="FF2F5496"/>
      </right>
      <top style="hair">
        <color rgb="FF2F5496"/>
      </top>
      <bottom/>
      <diagonal/>
    </border>
  </borders>
  <cellStyleXfs count="1">
    <xf numFmtId="0" fontId="0" fillId="0" borderId="0"/>
  </cellStyleXfs>
  <cellXfs count="57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5" fillId="2" borderId="0" xfId="0" applyFont="1" applyFill="1" applyAlignment="1">
      <alignment horizontal="right"/>
    </xf>
    <xf numFmtId="0" fontId="2" fillId="2" borderId="0" xfId="0" applyFont="1" applyFill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0" xfId="0" applyFont="1"/>
    <xf numFmtId="0" fontId="14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6" fillId="0" borderId="0" xfId="0" applyFont="1"/>
    <xf numFmtId="164" fontId="7" fillId="0" borderId="0" xfId="0" applyNumberFormat="1" applyFont="1"/>
    <xf numFmtId="165" fontId="7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2" fillId="0" borderId="0" xfId="0" applyFont="1"/>
    <xf numFmtId="0" fontId="7" fillId="0" borderId="0" xfId="0" applyFont="1" applyAlignment="1">
      <alignment horizontal="center" vertical="center"/>
    </xf>
    <xf numFmtId="167" fontId="7" fillId="0" borderId="0" xfId="0" applyNumberFormat="1" applyFont="1" applyAlignment="1">
      <alignment horizontal="left" vertical="center"/>
    </xf>
    <xf numFmtId="167" fontId="7" fillId="0" borderId="0" xfId="0" applyNumberFormat="1" applyFont="1"/>
    <xf numFmtId="167" fontId="7" fillId="0" borderId="0" xfId="0" applyNumberFormat="1" applyFont="1" applyAlignment="1">
      <alignment horizontal="right"/>
    </xf>
    <xf numFmtId="0" fontId="12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7" fillId="0" borderId="4" xfId="0" applyFont="1" applyBorder="1" applyAlignment="1">
      <alignment horizontal="center" vertical="center"/>
    </xf>
    <xf numFmtId="14" fontId="17" fillId="0" borderId="0" xfId="0" applyNumberFormat="1" applyFont="1"/>
    <xf numFmtId="0" fontId="7" fillId="0" borderId="5" xfId="0" applyFont="1" applyBorder="1" applyAlignment="1">
      <alignment horizontal="center" vertical="center"/>
    </xf>
    <xf numFmtId="171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1" fontId="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/>
    <xf numFmtId="0" fontId="12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7" xfId="0" applyFont="1" applyBorder="1"/>
    <xf numFmtId="0" fontId="15" fillId="0" borderId="0" xfId="0" applyFont="1" applyAlignment="1">
      <alignment horizontal="center"/>
    </xf>
    <xf numFmtId="0" fontId="1" fillId="0" borderId="8" xfId="0" applyFont="1" applyBorder="1"/>
    <xf numFmtId="0" fontId="15" fillId="0" borderId="8" xfId="0" applyFont="1" applyBorder="1"/>
    <xf numFmtId="0" fontId="2" fillId="3" borderId="0" xfId="0" applyFont="1" applyFill="1"/>
    <xf numFmtId="0" fontId="20" fillId="3" borderId="0" xfId="0" applyFont="1" applyFill="1" applyAlignment="1">
      <alignment horizontal="right"/>
    </xf>
    <xf numFmtId="0" fontId="11" fillId="3" borderId="0" xfId="0" applyFont="1" applyFill="1" applyAlignment="1">
      <alignment horizontal="right"/>
    </xf>
    <xf numFmtId="0" fontId="21" fillId="3" borderId="0" xfId="0" applyFont="1" applyFill="1"/>
    <xf numFmtId="0" fontId="22" fillId="3" borderId="0" xfId="0" applyFont="1" applyFill="1"/>
    <xf numFmtId="0" fontId="23" fillId="3" borderId="0" xfId="0" applyFont="1" applyFill="1"/>
    <xf numFmtId="0" fontId="24" fillId="3" borderId="0" xfId="0" applyFont="1" applyFill="1"/>
    <xf numFmtId="0" fontId="24" fillId="3" borderId="0" xfId="0" applyFont="1" applyFill="1" applyAlignment="1">
      <alignment horizontal="center"/>
    </xf>
    <xf numFmtId="0" fontId="11" fillId="3" borderId="0" xfId="0" applyFont="1" applyFill="1" applyAlignment="1">
      <alignment horizontal="left"/>
    </xf>
    <xf numFmtId="0" fontId="11" fillId="3" borderId="0" xfId="0" applyFont="1" applyFill="1"/>
    <xf numFmtId="0" fontId="2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15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20" fillId="3" borderId="0" xfId="0" applyFont="1" applyFill="1" applyAlignment="1">
      <alignment vertical="top" wrapText="1"/>
    </xf>
    <xf numFmtId="172" fontId="5" fillId="3" borderId="0" xfId="0" applyNumberFormat="1" applyFont="1" applyFill="1" applyAlignment="1">
      <alignment horizontal="center" vertical="center" wrapText="1"/>
    </xf>
    <xf numFmtId="172" fontId="5" fillId="3" borderId="0" xfId="0" applyNumberFormat="1" applyFont="1" applyFill="1" applyAlignment="1">
      <alignment vertical="center" wrapText="1"/>
    </xf>
    <xf numFmtId="173" fontId="2" fillId="3" borderId="0" xfId="0" applyNumberFormat="1" applyFont="1" applyFill="1" applyAlignment="1">
      <alignment horizontal="center"/>
    </xf>
    <xf numFmtId="174" fontId="2" fillId="3" borderId="0" xfId="0" applyNumberFormat="1" applyFont="1" applyFill="1" applyAlignment="1">
      <alignment horizontal="center"/>
    </xf>
    <xf numFmtId="174" fontId="11" fillId="3" borderId="0" xfId="0" applyNumberFormat="1" applyFont="1" applyFill="1" applyAlignment="1">
      <alignment horizontal="center"/>
    </xf>
    <xf numFmtId="174" fontId="11" fillId="3" borderId="0" xfId="0" applyNumberFormat="1" applyFont="1" applyFill="1" applyAlignment="1">
      <alignment horizontal="center" vertical="center"/>
    </xf>
    <xf numFmtId="175" fontId="11" fillId="3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176" fontId="11" fillId="3" borderId="0" xfId="0" applyNumberFormat="1" applyFont="1" applyFill="1" applyAlignment="1">
      <alignment horizontal="center" vertical="center"/>
    </xf>
    <xf numFmtId="177" fontId="2" fillId="3" borderId="0" xfId="0" applyNumberFormat="1" applyFont="1" applyFill="1" applyAlignment="1">
      <alignment horizontal="center"/>
    </xf>
    <xf numFmtId="2" fontId="11" fillId="3" borderId="0" xfId="0" applyNumberFormat="1" applyFont="1" applyFill="1" applyAlignment="1">
      <alignment horizontal="center"/>
    </xf>
    <xf numFmtId="178" fontId="11" fillId="3" borderId="0" xfId="0" applyNumberFormat="1" applyFont="1" applyFill="1" applyAlignment="1">
      <alignment vertical="center"/>
    </xf>
    <xf numFmtId="178" fontId="11" fillId="3" borderId="0" xfId="0" applyNumberFormat="1" applyFont="1" applyFill="1" applyAlignment="1">
      <alignment horizontal="center" vertical="center"/>
    </xf>
    <xf numFmtId="175" fontId="2" fillId="3" borderId="0" xfId="0" applyNumberFormat="1" applyFont="1" applyFill="1" applyAlignment="1">
      <alignment horizontal="center"/>
    </xf>
    <xf numFmtId="176" fontId="2" fillId="3" borderId="0" xfId="0" applyNumberFormat="1" applyFont="1" applyFill="1" applyAlignment="1">
      <alignment horizontal="center"/>
    </xf>
    <xf numFmtId="174" fontId="2" fillId="3" borderId="0" xfId="0" applyNumberFormat="1" applyFont="1" applyFill="1" applyAlignment="1">
      <alignment horizontal="center" vertical="center"/>
    </xf>
    <xf numFmtId="174" fontId="25" fillId="3" borderId="0" xfId="0" applyNumberFormat="1" applyFont="1" applyFill="1" applyAlignment="1">
      <alignment vertical="center"/>
    </xf>
    <xf numFmtId="174" fontId="25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73" fontId="2" fillId="0" borderId="0" xfId="0" applyNumberFormat="1" applyFont="1" applyAlignment="1">
      <alignment horizontal="center"/>
    </xf>
    <xf numFmtId="174" fontId="2" fillId="0" borderId="0" xfId="0" applyNumberFormat="1" applyFont="1" applyAlignment="1">
      <alignment horizontal="center"/>
    </xf>
    <xf numFmtId="174" fontId="11" fillId="0" borderId="0" xfId="0" applyNumberFormat="1" applyFont="1" applyAlignment="1">
      <alignment horizontal="center"/>
    </xf>
    <xf numFmtId="174" fontId="1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5" fontId="11" fillId="2" borderId="0" xfId="0" applyNumberFormat="1" applyFont="1" applyFill="1" applyAlignment="1">
      <alignment horizontal="center" vertical="center"/>
    </xf>
    <xf numFmtId="176" fontId="11" fillId="2" borderId="0" xfId="0" applyNumberFormat="1" applyFont="1" applyFill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177" fontId="11" fillId="0" borderId="0" xfId="0" applyNumberFormat="1" applyFont="1" applyAlignment="1">
      <alignment horizontal="center"/>
    </xf>
    <xf numFmtId="178" fontId="11" fillId="2" borderId="0" xfId="0" applyNumberFormat="1" applyFont="1" applyFill="1" applyAlignment="1">
      <alignment vertical="center"/>
    </xf>
    <xf numFmtId="178" fontId="11" fillId="2" borderId="0" xfId="0" applyNumberFormat="1" applyFont="1" applyFill="1" applyAlignment="1">
      <alignment horizontal="center" vertical="center"/>
    </xf>
    <xf numFmtId="175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9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70" fontId="2" fillId="2" borderId="0" xfId="0" applyNumberFormat="1" applyFont="1" applyFill="1" applyAlignment="1">
      <alignment horizontal="center"/>
    </xf>
    <xf numFmtId="2" fontId="2" fillId="2" borderId="0" xfId="0" applyNumberFormat="1" applyFont="1" applyFill="1"/>
    <xf numFmtId="0" fontId="21" fillId="2" borderId="0" xfId="0" applyFont="1" applyFill="1" applyAlignment="1">
      <alignment vertical="center"/>
    </xf>
    <xf numFmtId="0" fontId="21" fillId="2" borderId="0" xfId="0" applyFont="1" applyFill="1"/>
    <xf numFmtId="0" fontId="20" fillId="2" borderId="0" xfId="0" applyFont="1" applyFill="1"/>
    <xf numFmtId="0" fontId="23" fillId="2" borderId="0" xfId="0" applyFont="1" applyFill="1"/>
    <xf numFmtId="0" fontId="23" fillId="0" borderId="0" xfId="0" applyFont="1"/>
    <xf numFmtId="0" fontId="11" fillId="0" borderId="0" xfId="0" applyFont="1"/>
    <xf numFmtId="0" fontId="24" fillId="0" borderId="0" xfId="0" applyFont="1"/>
    <xf numFmtId="0" fontId="26" fillId="0" borderId="0" xfId="0" applyFont="1"/>
    <xf numFmtId="0" fontId="14" fillId="0" borderId="0" xfId="0" applyFont="1" applyAlignment="1">
      <alignment horizontal="right"/>
    </xf>
    <xf numFmtId="0" fontId="27" fillId="0" borderId="0" xfId="0" applyFont="1"/>
    <xf numFmtId="0" fontId="28" fillId="0" borderId="0" xfId="0" applyFont="1"/>
    <xf numFmtId="0" fontId="19" fillId="0" borderId="0" xfId="0" applyFont="1"/>
    <xf numFmtId="0" fontId="30" fillId="0" borderId="0" xfId="0" applyFont="1"/>
    <xf numFmtId="0" fontId="30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8" fillId="0" borderId="0" xfId="0" applyFont="1" applyAlignment="1">
      <alignment horizontal="right"/>
    </xf>
    <xf numFmtId="0" fontId="14" fillId="0" borderId="8" xfId="0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172" fontId="9" fillId="0" borderId="0" xfId="0" applyNumberFormat="1" applyFont="1" applyAlignment="1">
      <alignment horizontal="center" vertical="center" wrapText="1"/>
    </xf>
    <xf numFmtId="173" fontId="1" fillId="0" borderId="0" xfId="0" applyNumberFormat="1" applyFont="1" applyAlignment="1">
      <alignment vertical="center"/>
    </xf>
    <xf numFmtId="9" fontId="2" fillId="0" borderId="0" xfId="0" applyNumberFormat="1" applyFont="1"/>
    <xf numFmtId="177" fontId="7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/>
    </xf>
    <xf numFmtId="177" fontId="1" fillId="0" borderId="0" xfId="0" applyNumberFormat="1" applyFont="1"/>
    <xf numFmtId="177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74" fontId="1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4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2" fontId="7" fillId="0" borderId="0" xfId="0" applyNumberFormat="1" applyFont="1" applyAlignment="1">
      <alignment horizontal="center" vertical="center"/>
    </xf>
    <xf numFmtId="182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73" fontId="13" fillId="0" borderId="0" xfId="0" applyNumberFormat="1" applyFont="1" applyAlignment="1">
      <alignment horizontal="center" vertical="center" wrapText="1"/>
    </xf>
    <xf numFmtId="182" fontId="2" fillId="0" borderId="0" xfId="0" applyNumberFormat="1" applyFont="1"/>
    <xf numFmtId="2" fontId="33" fillId="0" borderId="0" xfId="0" applyNumberFormat="1" applyFont="1" applyAlignment="1">
      <alignment horizontal="center" vertical="center"/>
    </xf>
    <xf numFmtId="177" fontId="33" fillId="0" borderId="0" xfId="0" applyNumberFormat="1" applyFont="1" applyAlignment="1">
      <alignment horizontal="center" vertical="center"/>
    </xf>
    <xf numFmtId="182" fontId="33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173" fontId="34" fillId="0" borderId="0" xfId="0" applyNumberFormat="1" applyFont="1" applyAlignment="1">
      <alignment horizontal="center" vertical="center" wrapText="1"/>
    </xf>
    <xf numFmtId="182" fontId="35" fillId="0" borderId="0" xfId="0" applyNumberFormat="1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7" fontId="35" fillId="0" borderId="0" xfId="0" applyNumberFormat="1" applyFont="1" applyAlignment="1">
      <alignment horizontal="center" vertical="center"/>
    </xf>
    <xf numFmtId="173" fontId="36" fillId="0" borderId="0" xfId="0" applyNumberFormat="1" applyFont="1" applyAlignment="1">
      <alignment horizontal="center" vertical="center" wrapText="1"/>
    </xf>
    <xf numFmtId="173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73" fontId="1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173" fontId="1" fillId="0" borderId="0" xfId="0" applyNumberFormat="1" applyFont="1" applyAlignment="1">
      <alignment horizontal="center"/>
    </xf>
    <xf numFmtId="174" fontId="1" fillId="0" borderId="0" xfId="0" applyNumberFormat="1" applyFont="1" applyAlignment="1">
      <alignment horizontal="center"/>
    </xf>
    <xf numFmtId="174" fontId="15" fillId="0" borderId="0" xfId="0" applyNumberFormat="1" applyFont="1" applyAlignment="1">
      <alignment horizontal="center"/>
    </xf>
    <xf numFmtId="174" fontId="15" fillId="0" borderId="0" xfId="0" applyNumberFormat="1" applyFont="1" applyAlignment="1">
      <alignment horizontal="center" vertical="center"/>
    </xf>
    <xf numFmtId="175" fontId="15" fillId="0" borderId="0" xfId="0" applyNumberFormat="1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4" fillId="0" borderId="0" xfId="0" applyFont="1"/>
    <xf numFmtId="0" fontId="14" fillId="0" borderId="8" xfId="0" applyFont="1" applyBorder="1"/>
    <xf numFmtId="0" fontId="12" fillId="0" borderId="8" xfId="0" applyFont="1" applyBorder="1"/>
    <xf numFmtId="0" fontId="2" fillId="5" borderId="0" xfId="0" applyFont="1" applyFill="1"/>
    <xf numFmtId="0" fontId="40" fillId="3" borderId="3" xfId="0" applyFont="1" applyFill="1" applyBorder="1" applyAlignment="1">
      <alignment horizontal="center" vertical="center"/>
    </xf>
    <xf numFmtId="0" fontId="41" fillId="3" borderId="9" xfId="0" applyFont="1" applyFill="1" applyBorder="1" applyAlignment="1">
      <alignment vertical="center"/>
    </xf>
    <xf numFmtId="0" fontId="32" fillId="3" borderId="3" xfId="0" applyFont="1" applyFill="1" applyBorder="1" applyAlignment="1">
      <alignment vertical="center"/>
    </xf>
    <xf numFmtId="0" fontId="32" fillId="3" borderId="3" xfId="0" applyFont="1" applyFill="1" applyBorder="1" applyAlignment="1">
      <alignment horizontal="right" vertical="center"/>
    </xf>
    <xf numFmtId="0" fontId="44" fillId="5" borderId="0" xfId="0" applyFont="1" applyFill="1" applyProtection="1">
      <protection hidden="1"/>
    </xf>
    <xf numFmtId="0" fontId="45" fillId="9" borderId="15" xfId="0" applyFont="1" applyFill="1" applyBorder="1" applyAlignment="1">
      <alignment horizontal="center" vertical="center"/>
    </xf>
    <xf numFmtId="0" fontId="45" fillId="9" borderId="16" xfId="0" applyFont="1" applyFill="1" applyBorder="1" applyAlignment="1">
      <alignment horizontal="center" vertical="center"/>
    </xf>
    <xf numFmtId="0" fontId="32" fillId="3" borderId="11" xfId="0" applyFont="1" applyFill="1" applyBorder="1" applyAlignment="1">
      <alignment horizontal="right" vertical="center"/>
    </xf>
    <xf numFmtId="0" fontId="32" fillId="3" borderId="0" xfId="0" applyFont="1" applyFill="1" applyAlignment="1">
      <alignment horizontal="right" vertical="center"/>
    </xf>
    <xf numFmtId="0" fontId="32" fillId="3" borderId="13" xfId="0" applyFont="1" applyFill="1" applyBorder="1" applyAlignment="1">
      <alignment horizontal="right" vertical="center"/>
    </xf>
    <xf numFmtId="0" fontId="32" fillId="3" borderId="1" xfId="0" applyFont="1" applyFill="1" applyBorder="1" applyAlignment="1">
      <alignment horizontal="right" vertical="center"/>
    </xf>
    <xf numFmtId="0" fontId="47" fillId="3" borderId="2" xfId="0" applyFont="1" applyFill="1" applyBorder="1"/>
    <xf numFmtId="0" fontId="32" fillId="3" borderId="9" xfId="0" applyFont="1" applyFill="1" applyBorder="1" applyAlignment="1">
      <alignment horizontal="right" vertical="center"/>
    </xf>
    <xf numFmtId="0" fontId="47" fillId="3" borderId="3" xfId="0" applyFont="1" applyFill="1" applyBorder="1" applyAlignment="1">
      <alignment vertical="center"/>
    </xf>
    <xf numFmtId="2" fontId="32" fillId="10" borderId="10" xfId="0" applyNumberFormat="1" applyFont="1" applyFill="1" applyBorder="1" applyAlignment="1" applyProtection="1">
      <alignment horizontal="center" vertical="center"/>
      <protection locked="0"/>
    </xf>
    <xf numFmtId="0" fontId="47" fillId="5" borderId="0" xfId="0" applyFont="1" applyFill="1"/>
    <xf numFmtId="0" fontId="47" fillId="3" borderId="0" xfId="0" applyFont="1" applyFill="1" applyAlignment="1">
      <alignment vertical="center"/>
    </xf>
    <xf numFmtId="0" fontId="32" fillId="15" borderId="21" xfId="0" applyFont="1" applyFill="1" applyBorder="1" applyAlignment="1">
      <alignment horizontal="center" vertical="center"/>
    </xf>
    <xf numFmtId="0" fontId="51" fillId="5" borderId="0" xfId="0" applyFont="1" applyFill="1"/>
    <xf numFmtId="0" fontId="32" fillId="16" borderId="11" xfId="0" applyFont="1" applyFill="1" applyBorder="1" applyAlignment="1" applyProtection="1">
      <alignment horizontal="right" vertical="center"/>
      <protection locked="0"/>
    </xf>
    <xf numFmtId="183" fontId="32" fillId="17" borderId="22" xfId="0" applyNumberFormat="1" applyFont="1" applyFill="1" applyBorder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74" fontId="32" fillId="17" borderId="22" xfId="0" applyNumberFormat="1" applyFont="1" applyFill="1" applyBorder="1" applyAlignment="1" applyProtection="1">
      <alignment horizontal="center" vertical="center"/>
      <protection locked="0"/>
    </xf>
    <xf numFmtId="0" fontId="42" fillId="3" borderId="11" xfId="0" applyFont="1" applyFill="1" applyBorder="1" applyAlignment="1">
      <alignment horizontal="right" vertical="center"/>
    </xf>
    <xf numFmtId="177" fontId="32" fillId="10" borderId="12" xfId="0" applyNumberFormat="1" applyFont="1" applyFill="1" applyBorder="1" applyAlignment="1" applyProtection="1">
      <alignment horizontal="center" vertical="center"/>
      <protection locked="0"/>
    </xf>
    <xf numFmtId="0" fontId="53" fillId="10" borderId="26" xfId="0" applyFont="1" applyFill="1" applyBorder="1" applyAlignment="1" applyProtection="1">
      <alignment horizontal="center" vertical="center"/>
      <protection locked="0"/>
    </xf>
    <xf numFmtId="169" fontId="32" fillId="10" borderId="14" xfId="0" applyNumberFormat="1" applyFont="1" applyFill="1" applyBorder="1" applyAlignment="1" applyProtection="1">
      <alignment horizontal="center" vertical="center"/>
      <protection locked="0"/>
    </xf>
    <xf numFmtId="166" fontId="32" fillId="15" borderId="14" xfId="0" applyNumberFormat="1" applyFont="1" applyFill="1" applyBorder="1" applyAlignment="1">
      <alignment horizontal="center" vertical="center"/>
    </xf>
    <xf numFmtId="166" fontId="32" fillId="10" borderId="14" xfId="0" applyNumberFormat="1" applyFont="1" applyFill="1" applyBorder="1" applyAlignment="1">
      <alignment horizontal="center" vertical="center"/>
    </xf>
    <xf numFmtId="0" fontId="2" fillId="6" borderId="27" xfId="0" applyFont="1" applyFill="1" applyBorder="1"/>
    <xf numFmtId="176" fontId="2" fillId="0" borderId="0" xfId="0" applyNumberFormat="1" applyFont="1" applyAlignment="1">
      <alignment horizontal="center" vertical="center"/>
    </xf>
    <xf numFmtId="184" fontId="2" fillId="0" borderId="0" xfId="0" applyNumberFormat="1" applyFont="1"/>
    <xf numFmtId="0" fontId="57" fillId="6" borderId="15" xfId="0" applyFont="1" applyFill="1" applyBorder="1" applyAlignment="1">
      <alignment horizontal="center" vertical="center"/>
    </xf>
    <xf numFmtId="0" fontId="57" fillId="6" borderId="16" xfId="0" applyFont="1" applyFill="1" applyBorder="1" applyAlignment="1">
      <alignment horizontal="center" vertical="center"/>
    </xf>
    <xf numFmtId="0" fontId="57" fillId="6" borderId="28" xfId="0" applyFont="1" applyFill="1" applyBorder="1" applyAlignment="1">
      <alignment horizontal="center" vertical="center"/>
    </xf>
    <xf numFmtId="0" fontId="58" fillId="6" borderId="0" xfId="0" applyFont="1" applyFill="1"/>
    <xf numFmtId="0" fontId="57" fillId="17" borderId="15" xfId="0" applyFont="1" applyFill="1" applyBorder="1" applyAlignment="1">
      <alignment horizontal="center" vertical="center"/>
    </xf>
    <xf numFmtId="0" fontId="57" fillId="17" borderId="29" xfId="0" applyFont="1" applyFill="1" applyBorder="1" applyAlignment="1">
      <alignment horizontal="center" vertical="center"/>
    </xf>
    <xf numFmtId="0" fontId="57" fillId="17" borderId="28" xfId="0" applyFont="1" applyFill="1" applyBorder="1" applyAlignment="1">
      <alignment horizontal="center" vertical="center"/>
    </xf>
    <xf numFmtId="9" fontId="57" fillId="6" borderId="30" xfId="0" applyNumberFormat="1" applyFont="1" applyFill="1" applyBorder="1" applyAlignment="1">
      <alignment horizontal="center" vertical="center"/>
    </xf>
    <xf numFmtId="173" fontId="57" fillId="6" borderId="31" xfId="0" applyNumberFormat="1" applyFont="1" applyFill="1" applyBorder="1" applyAlignment="1" applyProtection="1">
      <alignment horizontal="center" vertical="center"/>
      <protection locked="0"/>
    </xf>
    <xf numFmtId="173" fontId="51" fillId="4" borderId="30" xfId="0" applyNumberFormat="1" applyFont="1" applyFill="1" applyBorder="1" applyAlignment="1" applyProtection="1">
      <alignment horizontal="center" vertical="center"/>
      <protection locked="0"/>
    </xf>
    <xf numFmtId="173" fontId="57" fillId="17" borderId="30" xfId="0" applyNumberFormat="1" applyFont="1" applyFill="1" applyBorder="1" applyAlignment="1">
      <alignment horizontal="center" vertical="center"/>
    </xf>
    <xf numFmtId="173" fontId="57" fillId="17" borderId="32" xfId="0" applyNumberFormat="1" applyFont="1" applyFill="1" applyBorder="1" applyAlignment="1">
      <alignment horizontal="center" vertical="center"/>
    </xf>
    <xf numFmtId="0" fontId="42" fillId="17" borderId="33" xfId="0" applyFont="1" applyFill="1" applyBorder="1" applyAlignment="1">
      <alignment horizontal="center" vertical="center"/>
    </xf>
    <xf numFmtId="9" fontId="57" fillId="6" borderId="34" xfId="0" applyNumberFormat="1" applyFont="1" applyFill="1" applyBorder="1" applyAlignment="1">
      <alignment horizontal="center" vertical="center"/>
    </xf>
    <xf numFmtId="173" fontId="57" fillId="6" borderId="35" xfId="0" applyNumberFormat="1" applyFont="1" applyFill="1" applyBorder="1" applyAlignment="1" applyProtection="1">
      <alignment horizontal="center" vertical="center"/>
      <protection locked="0"/>
    </xf>
    <xf numFmtId="173" fontId="59" fillId="4" borderId="34" xfId="0" applyNumberFormat="1" applyFont="1" applyFill="1" applyBorder="1" applyAlignment="1" applyProtection="1">
      <alignment horizontal="center" vertical="center"/>
      <protection locked="0"/>
    </xf>
    <xf numFmtId="173" fontId="57" fillId="17" borderId="34" xfId="0" applyNumberFormat="1" applyFont="1" applyFill="1" applyBorder="1" applyAlignment="1">
      <alignment horizontal="center" vertical="center"/>
    </xf>
    <xf numFmtId="173" fontId="57" fillId="17" borderId="36" xfId="0" applyNumberFormat="1" applyFont="1" applyFill="1" applyBorder="1" applyAlignment="1">
      <alignment horizontal="center" vertical="center"/>
    </xf>
    <xf numFmtId="0" fontId="42" fillId="17" borderId="37" xfId="0" applyFont="1" applyFill="1" applyBorder="1" applyAlignment="1">
      <alignment horizontal="center" vertical="center"/>
    </xf>
    <xf numFmtId="0" fontId="2" fillId="6" borderId="13" xfId="0" applyFont="1" applyFill="1" applyBorder="1"/>
    <xf numFmtId="0" fontId="2" fillId="6" borderId="1" xfId="0" applyFont="1" applyFill="1" applyBorder="1"/>
    <xf numFmtId="0" fontId="2" fillId="6" borderId="14" xfId="0" applyFont="1" applyFill="1" applyBorder="1"/>
    <xf numFmtId="0" fontId="1" fillId="5" borderId="0" xfId="0" applyFont="1" applyFill="1"/>
    <xf numFmtId="0" fontId="61" fillId="0" borderId="0" xfId="0" applyFont="1"/>
    <xf numFmtId="0" fontId="32" fillId="3" borderId="38" xfId="0" applyFont="1" applyFill="1" applyBorder="1" applyAlignment="1">
      <alignment horizontal="center" vertical="center" wrapText="1"/>
    </xf>
    <xf numFmtId="0" fontId="62" fillId="20" borderId="39" xfId="0" applyFont="1" applyFill="1" applyBorder="1" applyAlignment="1">
      <alignment horizontal="center" vertical="center" wrapText="1"/>
    </xf>
    <xf numFmtId="0" fontId="32" fillId="21" borderId="39" xfId="0" applyFont="1" applyFill="1" applyBorder="1" applyAlignment="1">
      <alignment horizontal="center" vertical="center" wrapText="1"/>
    </xf>
    <xf numFmtId="0" fontId="32" fillId="22" borderId="39" xfId="0" applyFont="1" applyFill="1" applyBorder="1" applyAlignment="1">
      <alignment horizontal="center" vertical="center" wrapText="1"/>
    </xf>
    <xf numFmtId="0" fontId="62" fillId="20" borderId="38" xfId="0" applyFont="1" applyFill="1" applyBorder="1" applyAlignment="1">
      <alignment horizontal="center" vertical="center" wrapText="1"/>
    </xf>
    <xf numFmtId="0" fontId="32" fillId="12" borderId="40" xfId="0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6" borderId="41" xfId="0" applyFont="1" applyFill="1" applyBorder="1" applyAlignment="1">
      <alignment horizontal="center" vertical="center"/>
    </xf>
    <xf numFmtId="0" fontId="57" fillId="6" borderId="9" xfId="0" applyFont="1" applyFill="1" applyBorder="1" applyAlignment="1">
      <alignment horizontal="center" vertical="center"/>
    </xf>
    <xf numFmtId="0" fontId="57" fillId="6" borderId="40" xfId="0" applyFont="1" applyFill="1" applyBorder="1" applyAlignment="1">
      <alignment horizontal="center" vertical="center"/>
    </xf>
    <xf numFmtId="0" fontId="57" fillId="6" borderId="42" xfId="0" applyFont="1" applyFill="1" applyBorder="1" applyAlignment="1">
      <alignment horizontal="center" vertical="center"/>
    </xf>
    <xf numFmtId="0" fontId="6" fillId="5" borderId="0" xfId="0" applyFont="1" applyFill="1"/>
    <xf numFmtId="177" fontId="32" fillId="3" borderId="43" xfId="0" applyNumberFormat="1" applyFont="1" applyFill="1" applyBorder="1" applyAlignment="1">
      <alignment horizontal="center" vertical="center"/>
    </xf>
    <xf numFmtId="0" fontId="62" fillId="20" borderId="44" xfId="0" applyFont="1" applyFill="1" applyBorder="1" applyAlignment="1">
      <alignment horizontal="center" vertical="center"/>
    </xf>
    <xf numFmtId="0" fontId="32" fillId="21" borderId="44" xfId="0" applyFont="1" applyFill="1" applyBorder="1" applyAlignment="1">
      <alignment horizontal="center" vertical="center"/>
    </xf>
    <xf numFmtId="0" fontId="32" fillId="22" borderId="44" xfId="0" applyFont="1" applyFill="1" applyBorder="1" applyAlignment="1">
      <alignment horizontal="center" vertical="center"/>
    </xf>
    <xf numFmtId="0" fontId="62" fillId="20" borderId="43" xfId="0" applyFont="1" applyFill="1" applyBorder="1" applyAlignment="1">
      <alignment horizontal="center" vertical="center"/>
    </xf>
    <xf numFmtId="0" fontId="32" fillId="12" borderId="45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173" fontId="65" fillId="8" borderId="6" xfId="0" applyNumberFormat="1" applyFont="1" applyFill="1" applyBorder="1" applyAlignment="1">
      <alignment horizontal="center" vertical="center"/>
    </xf>
    <xf numFmtId="173" fontId="65" fillId="9" borderId="0" xfId="0" applyNumberFormat="1" applyFont="1" applyFill="1" applyAlignment="1">
      <alignment horizontal="center" vertical="center"/>
    </xf>
    <xf numFmtId="0" fontId="66" fillId="5" borderId="0" xfId="0" applyFont="1" applyFill="1"/>
    <xf numFmtId="177" fontId="65" fillId="7" borderId="0" xfId="0" applyNumberFormat="1" applyFont="1" applyFill="1" applyAlignment="1">
      <alignment horizontal="center" vertical="center"/>
    </xf>
    <xf numFmtId="177" fontId="66" fillId="3" borderId="46" xfId="0" applyNumberFormat="1" applyFont="1" applyFill="1" applyBorder="1" applyAlignment="1">
      <alignment horizontal="center" vertical="center"/>
    </xf>
    <xf numFmtId="177" fontId="66" fillId="3" borderId="31" xfId="0" applyNumberFormat="1" applyFont="1" applyFill="1" applyBorder="1" applyAlignment="1">
      <alignment horizontal="center" vertical="center"/>
    </xf>
    <xf numFmtId="2" fontId="66" fillId="3" borderId="31" xfId="0" applyNumberFormat="1" applyFont="1" applyFill="1" applyBorder="1" applyAlignment="1">
      <alignment horizontal="center" vertical="center"/>
    </xf>
    <xf numFmtId="0" fontId="66" fillId="3" borderId="31" xfId="0" applyFont="1" applyFill="1" applyBorder="1" applyAlignment="1">
      <alignment horizontal="center" vertical="center"/>
    </xf>
    <xf numFmtId="177" fontId="67" fillId="20" borderId="31" xfId="0" applyNumberFormat="1" applyFont="1" applyFill="1" applyBorder="1" applyAlignment="1">
      <alignment horizontal="center" vertical="center"/>
    </xf>
    <xf numFmtId="177" fontId="60" fillId="21" borderId="31" xfId="0" applyNumberFormat="1" applyFont="1" applyFill="1" applyBorder="1" applyAlignment="1">
      <alignment horizontal="center" vertical="center"/>
    </xf>
    <xf numFmtId="177" fontId="60" fillId="22" borderId="31" xfId="0" applyNumberFormat="1" applyFont="1" applyFill="1" applyBorder="1" applyAlignment="1">
      <alignment horizontal="center" vertical="center"/>
    </xf>
    <xf numFmtId="0" fontId="60" fillId="21" borderId="31" xfId="0" applyFont="1" applyFill="1" applyBorder="1" applyAlignment="1">
      <alignment horizontal="center" vertical="center"/>
    </xf>
    <xf numFmtId="0" fontId="60" fillId="22" borderId="31" xfId="0" applyFont="1" applyFill="1" applyBorder="1" applyAlignment="1">
      <alignment horizontal="center" vertical="center"/>
    </xf>
    <xf numFmtId="0" fontId="67" fillId="20" borderId="46" xfId="0" applyFont="1" applyFill="1" applyBorder="1" applyAlignment="1">
      <alignment horizontal="center" vertical="center"/>
    </xf>
    <xf numFmtId="0" fontId="60" fillId="12" borderId="47" xfId="0" applyFont="1" applyFill="1" applyBorder="1" applyAlignment="1">
      <alignment horizontal="center" vertical="center"/>
    </xf>
    <xf numFmtId="173" fontId="32" fillId="8" borderId="48" xfId="0" applyNumberFormat="1" applyFont="1" applyFill="1" applyBorder="1" applyAlignment="1" applyProtection="1">
      <alignment horizontal="center" vertical="center"/>
      <protection locked="0"/>
    </xf>
    <xf numFmtId="173" fontId="32" fillId="9" borderId="48" xfId="0" applyNumberFormat="1" applyFont="1" applyFill="1" applyBorder="1" applyAlignment="1" applyProtection="1">
      <alignment horizontal="center" vertical="center"/>
      <protection locked="0"/>
    </xf>
    <xf numFmtId="0" fontId="47" fillId="5" borderId="0" xfId="0" applyFont="1" applyFill="1" applyProtection="1">
      <protection locked="0"/>
    </xf>
    <xf numFmtId="173" fontId="68" fillId="7" borderId="48" xfId="0" applyNumberFormat="1" applyFont="1" applyFill="1" applyBorder="1" applyAlignment="1" applyProtection="1">
      <alignment horizontal="center" vertical="center"/>
      <protection locked="0"/>
    </xf>
    <xf numFmtId="0" fontId="69" fillId="5" borderId="0" xfId="0" applyFont="1" applyFill="1"/>
    <xf numFmtId="173" fontId="47" fillId="3" borderId="46" xfId="0" applyNumberFormat="1" applyFont="1" applyFill="1" applyBorder="1" applyAlignment="1">
      <alignment horizontal="center" vertical="center"/>
    </xf>
    <xf numFmtId="173" fontId="47" fillId="3" borderId="31" xfId="0" applyNumberFormat="1" applyFont="1" applyFill="1" applyBorder="1" applyAlignment="1">
      <alignment horizontal="center" vertical="center"/>
    </xf>
    <xf numFmtId="173" fontId="42" fillId="9" borderId="31" xfId="0" applyNumberFormat="1" applyFont="1" applyFill="1" applyBorder="1" applyAlignment="1" applyProtection="1">
      <alignment horizontal="center"/>
      <protection locked="0"/>
    </xf>
    <xf numFmtId="173" fontId="32" fillId="3" borderId="31" xfId="0" applyNumberFormat="1" applyFont="1" applyFill="1" applyBorder="1" applyAlignment="1">
      <alignment horizontal="center" vertical="center"/>
    </xf>
    <xf numFmtId="174" fontId="70" fillId="20" borderId="31" xfId="0" applyNumberFormat="1" applyFont="1" applyFill="1" applyBorder="1" applyAlignment="1">
      <alignment horizontal="center" vertical="center"/>
    </xf>
    <xf numFmtId="174" fontId="32" fillId="21" borderId="31" xfId="0" applyNumberFormat="1" applyFont="1" applyFill="1" applyBorder="1" applyAlignment="1">
      <alignment horizontal="center" vertical="center"/>
    </xf>
    <xf numFmtId="174" fontId="47" fillId="21" borderId="31" xfId="0" applyNumberFormat="1" applyFont="1" applyFill="1" applyBorder="1" applyAlignment="1">
      <alignment horizontal="center" vertical="center"/>
    </xf>
    <xf numFmtId="174" fontId="32" fillId="22" borderId="31" xfId="0" applyNumberFormat="1" applyFont="1" applyFill="1" applyBorder="1" applyAlignment="1">
      <alignment horizontal="center" vertical="center"/>
    </xf>
    <xf numFmtId="174" fontId="70" fillId="20" borderId="46" xfId="0" applyNumberFormat="1" applyFont="1" applyFill="1" applyBorder="1" applyAlignment="1">
      <alignment horizontal="center" vertical="center"/>
    </xf>
    <xf numFmtId="174" fontId="42" fillId="12" borderId="47" xfId="0" applyNumberFormat="1" applyFont="1" applyFill="1" applyBorder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173" fontId="32" fillId="8" borderId="49" xfId="0" applyNumberFormat="1" applyFont="1" applyFill="1" applyBorder="1" applyAlignment="1" applyProtection="1">
      <alignment horizontal="center" vertical="center"/>
      <protection locked="0"/>
    </xf>
    <xf numFmtId="173" fontId="32" fillId="9" borderId="49" xfId="0" applyNumberFormat="1" applyFont="1" applyFill="1" applyBorder="1" applyAlignment="1" applyProtection="1">
      <alignment horizontal="center" vertical="center"/>
      <protection locked="0"/>
    </xf>
    <xf numFmtId="173" fontId="32" fillId="8" borderId="0" xfId="0" applyNumberFormat="1" applyFont="1" applyFill="1" applyAlignment="1" applyProtection="1">
      <alignment horizontal="center" vertical="center"/>
      <protection locked="0"/>
    </xf>
    <xf numFmtId="173" fontId="32" fillId="9" borderId="0" xfId="0" applyNumberFormat="1" applyFont="1" applyFill="1" applyAlignment="1" applyProtection="1">
      <alignment horizontal="center" vertical="center"/>
      <protection locked="0"/>
    </xf>
    <xf numFmtId="173" fontId="68" fillId="7" borderId="0" xfId="0" applyNumberFormat="1" applyFont="1" applyFill="1" applyAlignment="1" applyProtection="1">
      <alignment horizontal="center" vertical="center"/>
      <protection locked="0"/>
    </xf>
    <xf numFmtId="173" fontId="42" fillId="9" borderId="50" xfId="0" applyNumberFormat="1" applyFont="1" applyFill="1" applyBorder="1" applyAlignment="1" applyProtection="1">
      <alignment horizontal="center"/>
      <protection locked="0"/>
    </xf>
    <xf numFmtId="173" fontId="32" fillId="3" borderId="50" xfId="0" applyNumberFormat="1" applyFont="1" applyFill="1" applyBorder="1" applyAlignment="1">
      <alignment horizontal="center" vertical="center"/>
    </xf>
    <xf numFmtId="174" fontId="70" fillId="20" borderId="50" xfId="0" applyNumberFormat="1" applyFont="1" applyFill="1" applyBorder="1" applyAlignment="1">
      <alignment horizontal="center" vertical="center"/>
    </xf>
    <xf numFmtId="173" fontId="32" fillId="8" borderId="0" xfId="0" applyNumberFormat="1" applyFont="1" applyFill="1" applyAlignment="1">
      <alignment horizontal="center" vertical="center"/>
    </xf>
    <xf numFmtId="173" fontId="32" fillId="9" borderId="0" xfId="0" applyNumberFormat="1" applyFont="1" applyFill="1" applyAlignment="1">
      <alignment horizontal="center" vertical="center"/>
    </xf>
    <xf numFmtId="173" fontId="68" fillId="7" borderId="0" xfId="0" applyNumberFormat="1" applyFont="1" applyFill="1" applyAlignment="1">
      <alignment horizontal="center" vertical="center"/>
    </xf>
    <xf numFmtId="0" fontId="17" fillId="7" borderId="0" xfId="0" applyFont="1" applyFill="1"/>
    <xf numFmtId="0" fontId="71" fillId="0" borderId="0" xfId="0" applyFont="1"/>
    <xf numFmtId="173" fontId="71" fillId="0" borderId="0" xfId="0" applyNumberFormat="1" applyFont="1"/>
    <xf numFmtId="173" fontId="2" fillId="0" borderId="0" xfId="0" applyNumberFormat="1" applyFont="1"/>
    <xf numFmtId="173" fontId="73" fillId="0" borderId="0" xfId="0" applyNumberFormat="1" applyFont="1" applyAlignment="1">
      <alignment vertical="center"/>
    </xf>
    <xf numFmtId="0" fontId="74" fillId="8" borderId="29" xfId="0" applyFont="1" applyFill="1" applyBorder="1" applyAlignment="1">
      <alignment horizontal="right" vertical="center"/>
    </xf>
    <xf numFmtId="0" fontId="73" fillId="8" borderId="51" xfId="0" applyFont="1" applyFill="1" applyBorder="1" applyAlignment="1">
      <alignment horizontal="left" vertical="center"/>
    </xf>
    <xf numFmtId="0" fontId="73" fillId="8" borderId="29" xfId="0" applyFont="1" applyFill="1" applyBorder="1" applyAlignment="1">
      <alignment horizontal="right" vertical="center"/>
    </xf>
    <xf numFmtId="0" fontId="73" fillId="8" borderId="18" xfId="0" applyFont="1" applyFill="1" applyBorder="1" applyAlignment="1">
      <alignment horizontal="left" vertical="center"/>
    </xf>
    <xf numFmtId="0" fontId="73" fillId="9" borderId="25" xfId="0" applyFont="1" applyFill="1" applyBorder="1"/>
    <xf numFmtId="0" fontId="73" fillId="9" borderId="2" xfId="0" applyFont="1" applyFill="1" applyBorder="1"/>
    <xf numFmtId="0" fontId="73" fillId="9" borderId="26" xfId="0" applyFont="1" applyFill="1" applyBorder="1"/>
    <xf numFmtId="0" fontId="74" fillId="8" borderId="32" xfId="0" applyFont="1" applyFill="1" applyBorder="1" applyAlignment="1">
      <alignment horizontal="right" vertical="center"/>
    </xf>
    <xf numFmtId="0" fontId="73" fillId="8" borderId="5" xfId="0" applyFont="1" applyFill="1" applyBorder="1" applyAlignment="1">
      <alignment horizontal="left" vertical="center"/>
    </xf>
    <xf numFmtId="0" fontId="73" fillId="8" borderId="32" xfId="0" applyFont="1" applyFill="1" applyBorder="1" applyAlignment="1">
      <alignment horizontal="right" vertical="center"/>
    </xf>
    <xf numFmtId="0" fontId="73" fillId="8" borderId="52" xfId="0" applyFont="1" applyFill="1" applyBorder="1" applyAlignment="1">
      <alignment horizontal="left" vertical="center"/>
    </xf>
    <xf numFmtId="0" fontId="73" fillId="9" borderId="15" xfId="0" applyFont="1" applyFill="1" applyBorder="1" applyAlignment="1">
      <alignment horizontal="center" vertical="center"/>
    </xf>
    <xf numFmtId="0" fontId="73" fillId="9" borderId="16" xfId="0" applyFont="1" applyFill="1" applyBorder="1" applyAlignment="1">
      <alignment horizontal="center" vertical="center"/>
    </xf>
    <xf numFmtId="0" fontId="73" fillId="9" borderId="28" xfId="0" applyFont="1" applyFill="1" applyBorder="1" applyAlignment="1">
      <alignment horizontal="center" vertical="center"/>
    </xf>
    <xf numFmtId="167" fontId="73" fillId="8" borderId="52" xfId="0" applyNumberFormat="1" applyFont="1" applyFill="1" applyBorder="1" applyAlignment="1">
      <alignment horizontal="left" vertical="center"/>
    </xf>
    <xf numFmtId="2" fontId="73" fillId="6" borderId="30" xfId="0" applyNumberFormat="1" applyFont="1" applyFill="1" applyBorder="1" applyAlignment="1">
      <alignment horizontal="center" vertical="center"/>
    </xf>
    <xf numFmtId="2" fontId="73" fillId="6" borderId="31" xfId="0" applyNumberFormat="1" applyFont="1" applyFill="1" applyBorder="1" applyAlignment="1">
      <alignment horizontal="center" vertical="center"/>
    </xf>
    <xf numFmtId="173" fontId="73" fillId="6" borderId="31" xfId="0" applyNumberFormat="1" applyFont="1" applyFill="1" applyBorder="1" applyAlignment="1">
      <alignment horizontal="center" vertical="center"/>
    </xf>
    <xf numFmtId="173" fontId="73" fillId="6" borderId="33" xfId="0" applyNumberFormat="1" applyFont="1" applyFill="1" applyBorder="1" applyAlignment="1">
      <alignment horizontal="center" vertical="center"/>
    </xf>
    <xf numFmtId="0" fontId="73" fillId="8" borderId="52" xfId="0" applyFont="1" applyFill="1" applyBorder="1" applyAlignment="1">
      <alignment horizontal="center" vertical="center"/>
    </xf>
    <xf numFmtId="2" fontId="73" fillId="9" borderId="30" xfId="0" applyNumberFormat="1" applyFont="1" applyFill="1" applyBorder="1" applyAlignment="1">
      <alignment horizontal="center" vertical="center"/>
    </xf>
    <xf numFmtId="2" fontId="73" fillId="9" borderId="31" xfId="0" applyNumberFormat="1" applyFont="1" applyFill="1" applyBorder="1" applyAlignment="1">
      <alignment horizontal="center" vertical="center"/>
    </xf>
    <xf numFmtId="177" fontId="73" fillId="9" borderId="33" xfId="0" applyNumberFormat="1" applyFont="1" applyFill="1" applyBorder="1" applyAlignment="1">
      <alignment horizontal="center" vertical="center"/>
    </xf>
    <xf numFmtId="0" fontId="73" fillId="8" borderId="36" xfId="0" applyFont="1" applyFill="1" applyBorder="1" applyAlignment="1">
      <alignment horizontal="right" vertical="center"/>
    </xf>
    <xf numFmtId="0" fontId="73" fillId="8" borderId="53" xfId="0" applyFont="1" applyFill="1" applyBorder="1" applyAlignment="1">
      <alignment horizontal="left" vertical="center"/>
    </xf>
    <xf numFmtId="0" fontId="73" fillId="8" borderId="54" xfId="0" applyFont="1" applyFill="1" applyBorder="1" applyAlignment="1">
      <alignment horizontal="center" vertical="center"/>
    </xf>
    <xf numFmtId="0" fontId="74" fillId="6" borderId="29" xfId="0" applyFont="1" applyFill="1" applyBorder="1" applyAlignment="1">
      <alignment horizontal="right" vertical="center"/>
    </xf>
    <xf numFmtId="0" fontId="73" fillId="6" borderId="51" xfId="0" applyFont="1" applyFill="1" applyBorder="1" applyAlignment="1">
      <alignment horizontal="left" vertical="center"/>
    </xf>
    <xf numFmtId="0" fontId="73" fillId="6" borderId="29" xfId="0" applyFont="1" applyFill="1" applyBorder="1" applyAlignment="1">
      <alignment horizontal="right" vertical="center"/>
    </xf>
    <xf numFmtId="0" fontId="73" fillId="6" borderId="18" xfId="0" applyFont="1" applyFill="1" applyBorder="1" applyAlignment="1">
      <alignment horizontal="left" vertical="center"/>
    </xf>
    <xf numFmtId="0" fontId="74" fillId="6" borderId="32" xfId="0" applyFont="1" applyFill="1" applyBorder="1" applyAlignment="1">
      <alignment horizontal="right" vertical="center"/>
    </xf>
    <xf numFmtId="0" fontId="73" fillId="6" borderId="5" xfId="0" applyFont="1" applyFill="1" applyBorder="1" applyAlignment="1">
      <alignment horizontal="left" vertical="center"/>
    </xf>
    <xf numFmtId="0" fontId="73" fillId="6" borderId="32" xfId="0" applyFont="1" applyFill="1" applyBorder="1" applyAlignment="1">
      <alignment horizontal="right" vertical="center"/>
    </xf>
    <xf numFmtId="0" fontId="73" fillId="6" borderId="52" xfId="0" applyFont="1" applyFill="1" applyBorder="1" applyAlignment="1">
      <alignment horizontal="left" vertical="center"/>
    </xf>
    <xf numFmtId="167" fontId="73" fillId="6" borderId="52" xfId="0" applyNumberFormat="1" applyFont="1" applyFill="1" applyBorder="1" applyAlignment="1">
      <alignment horizontal="left" vertical="center"/>
    </xf>
    <xf numFmtId="2" fontId="73" fillId="9" borderId="34" xfId="0" applyNumberFormat="1" applyFont="1" applyFill="1" applyBorder="1" applyAlignment="1">
      <alignment horizontal="center" vertical="center"/>
    </xf>
    <xf numFmtId="2" fontId="73" fillId="9" borderId="35" xfId="0" applyNumberFormat="1" applyFont="1" applyFill="1" applyBorder="1" applyAlignment="1">
      <alignment horizontal="center" vertical="center"/>
    </xf>
    <xf numFmtId="0" fontId="73" fillId="9" borderId="35" xfId="0" applyFont="1" applyFill="1" applyBorder="1" applyAlignment="1">
      <alignment horizontal="center" vertical="center"/>
    </xf>
    <xf numFmtId="177" fontId="73" fillId="9" borderId="37" xfId="0" applyNumberFormat="1" applyFont="1" applyFill="1" applyBorder="1" applyAlignment="1">
      <alignment horizontal="center" vertical="center"/>
    </xf>
    <xf numFmtId="0" fontId="73" fillId="8" borderId="5" xfId="0" applyFont="1" applyFill="1" applyBorder="1" applyAlignment="1">
      <alignment horizontal="center" vertical="center"/>
    </xf>
    <xf numFmtId="173" fontId="73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177" fontId="73" fillId="0" borderId="0" xfId="0" applyNumberFormat="1" applyFont="1" applyAlignment="1">
      <alignment horizontal="center" vertical="center"/>
    </xf>
    <xf numFmtId="0" fontId="76" fillId="23" borderId="0" xfId="0" applyFont="1" applyFill="1" applyAlignment="1">
      <alignment horizontal="center" vertical="center"/>
    </xf>
    <xf numFmtId="174" fontId="76" fillId="23" borderId="0" xfId="0" applyNumberFormat="1" applyFont="1" applyFill="1" applyAlignment="1">
      <alignment horizontal="center" vertical="center"/>
    </xf>
    <xf numFmtId="177" fontId="76" fillId="23" borderId="0" xfId="0" applyNumberFormat="1" applyFont="1" applyFill="1" applyAlignment="1">
      <alignment horizontal="center" vertical="center"/>
    </xf>
    <xf numFmtId="185" fontId="76" fillId="23" borderId="0" xfId="0" applyNumberFormat="1" applyFont="1" applyFill="1" applyAlignment="1">
      <alignment horizontal="center" vertical="center"/>
    </xf>
    <xf numFmtId="173" fontId="76" fillId="23" borderId="0" xfId="0" applyNumberFormat="1" applyFont="1" applyFill="1" applyAlignment="1">
      <alignment horizontal="center" vertical="center"/>
    </xf>
    <xf numFmtId="0" fontId="3" fillId="10" borderId="0" xfId="0" applyFont="1" applyFill="1" applyAlignment="1">
      <alignment horizontal="right" vertical="center"/>
    </xf>
    <xf numFmtId="2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186" fontId="77" fillId="9" borderId="56" xfId="0" applyNumberFormat="1" applyFont="1" applyFill="1" applyBorder="1" applyAlignment="1">
      <alignment horizontal="center" vertical="center" wrapText="1"/>
    </xf>
    <xf numFmtId="187" fontId="78" fillId="0" borderId="57" xfId="0" applyNumberFormat="1" applyFont="1" applyBorder="1" applyAlignment="1">
      <alignment vertical="center" wrapText="1"/>
    </xf>
    <xf numFmtId="187" fontId="78" fillId="0" borderId="0" xfId="0" applyNumberFormat="1" applyFont="1" applyAlignment="1">
      <alignment vertical="center" wrapText="1"/>
    </xf>
    <xf numFmtId="0" fontId="58" fillId="0" borderId="0" xfId="0" applyFont="1"/>
    <xf numFmtId="0" fontId="79" fillId="10" borderId="0" xfId="0" applyFont="1" applyFill="1" applyAlignment="1">
      <alignment vertical="center"/>
    </xf>
    <xf numFmtId="0" fontId="3" fillId="10" borderId="59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center" vertical="center" wrapText="1"/>
    </xf>
    <xf numFmtId="0" fontId="3" fillId="10" borderId="60" xfId="0" applyFont="1" applyFill="1" applyBorder="1" applyAlignment="1">
      <alignment horizontal="center" vertical="center" wrapText="1"/>
    </xf>
    <xf numFmtId="0" fontId="3" fillId="10" borderId="60" xfId="0" applyFont="1" applyFill="1" applyBorder="1"/>
    <xf numFmtId="0" fontId="3" fillId="10" borderId="61" xfId="0" applyFont="1" applyFill="1" applyBorder="1" applyAlignment="1">
      <alignment horizontal="center" vertical="center" wrapText="1"/>
    </xf>
    <xf numFmtId="0" fontId="3" fillId="10" borderId="62" xfId="0" applyFont="1" applyFill="1" applyBorder="1" applyAlignment="1">
      <alignment horizontal="center" vertical="center"/>
    </xf>
    <xf numFmtId="174" fontId="50" fillId="10" borderId="63" xfId="0" applyNumberFormat="1" applyFont="1" applyFill="1" applyBorder="1" applyAlignment="1">
      <alignment horizontal="center" vertical="center"/>
    </xf>
    <xf numFmtId="0" fontId="50" fillId="10" borderId="64" xfId="0" applyFont="1" applyFill="1" applyBorder="1" applyAlignment="1">
      <alignment horizontal="center" vertical="center"/>
    </xf>
    <xf numFmtId="0" fontId="50" fillId="10" borderId="63" xfId="0" applyFont="1" applyFill="1" applyBorder="1" applyAlignment="1">
      <alignment horizontal="center" vertical="center"/>
    </xf>
    <xf numFmtId="185" fontId="50" fillId="10" borderId="63" xfId="0" applyNumberFormat="1" applyFont="1" applyFill="1" applyBorder="1" applyAlignment="1">
      <alignment horizontal="center" vertical="center"/>
    </xf>
    <xf numFmtId="189" fontId="50" fillId="10" borderId="65" xfId="0" applyNumberFormat="1" applyFont="1" applyFill="1" applyBorder="1" applyAlignment="1">
      <alignment horizontal="center" vertical="center"/>
    </xf>
    <xf numFmtId="0" fontId="3" fillId="10" borderId="66" xfId="0" applyFont="1" applyFill="1" applyBorder="1" applyAlignment="1">
      <alignment horizontal="center" vertical="center"/>
    </xf>
    <xf numFmtId="174" fontId="50" fillId="10" borderId="67" xfId="0" applyNumberFormat="1" applyFont="1" applyFill="1" applyBorder="1" applyAlignment="1">
      <alignment horizontal="center" vertical="center"/>
    </xf>
    <xf numFmtId="0" fontId="50" fillId="10" borderId="67" xfId="0" applyFont="1" applyFill="1" applyBorder="1" applyAlignment="1">
      <alignment horizontal="center" vertical="center"/>
    </xf>
    <xf numFmtId="185" fontId="50" fillId="10" borderId="67" xfId="0" applyNumberFormat="1" applyFont="1" applyFill="1" applyBorder="1" applyAlignment="1">
      <alignment horizontal="center" vertical="center"/>
    </xf>
    <xf numFmtId="189" fontId="50" fillId="10" borderId="68" xfId="0" applyNumberFormat="1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2" fontId="3" fillId="10" borderId="67" xfId="0" applyNumberFormat="1" applyFont="1" applyFill="1" applyBorder="1" applyAlignment="1">
      <alignment horizontal="center" vertical="center"/>
    </xf>
    <xf numFmtId="0" fontId="3" fillId="10" borderId="67" xfId="0" applyFont="1" applyFill="1" applyBorder="1" applyAlignment="1">
      <alignment horizontal="center" vertical="center"/>
    </xf>
    <xf numFmtId="174" fontId="3" fillId="10" borderId="67" xfId="0" applyNumberFormat="1" applyFont="1" applyFill="1" applyBorder="1" applyAlignment="1">
      <alignment horizontal="center" vertical="center"/>
    </xf>
    <xf numFmtId="185" fontId="3" fillId="10" borderId="67" xfId="0" applyNumberFormat="1" applyFont="1" applyFill="1" applyBorder="1" applyAlignment="1">
      <alignment horizontal="center" vertical="center"/>
    </xf>
    <xf numFmtId="189" fontId="3" fillId="10" borderId="68" xfId="0" applyNumberFormat="1" applyFont="1" applyFill="1" applyBorder="1" applyAlignment="1">
      <alignment horizontal="center" vertical="center"/>
    </xf>
    <xf numFmtId="0" fontId="3" fillId="10" borderId="57" xfId="0" applyFont="1" applyFill="1" applyBorder="1" applyAlignment="1">
      <alignment horizontal="center" vertical="center"/>
    </xf>
    <xf numFmtId="190" fontId="3" fillId="10" borderId="67" xfId="0" applyNumberFormat="1" applyFont="1" applyFill="1" applyBorder="1" applyAlignment="1">
      <alignment horizontal="center" vertical="center"/>
    </xf>
    <xf numFmtId="191" fontId="3" fillId="10" borderId="67" xfId="0" applyNumberFormat="1" applyFont="1" applyFill="1" applyBorder="1" applyAlignment="1">
      <alignment horizontal="center" vertical="center"/>
    </xf>
    <xf numFmtId="0" fontId="3" fillId="10" borderId="69" xfId="0" applyFont="1" applyFill="1" applyBorder="1" applyAlignment="1">
      <alignment horizontal="center" vertical="center"/>
    </xf>
    <xf numFmtId="0" fontId="3" fillId="10" borderId="70" xfId="0" applyFont="1" applyFill="1" applyBorder="1" applyAlignment="1">
      <alignment horizontal="center" vertical="center"/>
    </xf>
    <xf numFmtId="0" fontId="3" fillId="10" borderId="71" xfId="0" applyFont="1" applyFill="1" applyBorder="1" applyAlignment="1">
      <alignment horizontal="center" vertical="center"/>
    </xf>
    <xf numFmtId="0" fontId="81" fillId="10" borderId="0" xfId="0" applyFont="1" applyFill="1"/>
    <xf numFmtId="0" fontId="81" fillId="10" borderId="0" xfId="0" applyFont="1" applyFill="1" applyAlignment="1">
      <alignment horizontal="center" vertical="center"/>
    </xf>
    <xf numFmtId="192" fontId="50" fillId="10" borderId="74" xfId="0" applyNumberFormat="1" applyFont="1" applyFill="1" applyBorder="1" applyAlignment="1">
      <alignment horizontal="center" vertical="center" wrapText="1"/>
    </xf>
    <xf numFmtId="193" fontId="81" fillId="10" borderId="74" xfId="0" applyNumberFormat="1" applyFont="1" applyFill="1" applyBorder="1" applyAlignment="1">
      <alignment horizontal="center" vertical="center" wrapText="1"/>
    </xf>
    <xf numFmtId="0" fontId="50" fillId="10" borderId="59" xfId="0" applyFont="1" applyFill="1" applyBorder="1" applyAlignment="1">
      <alignment horizontal="center" vertical="center"/>
    </xf>
    <xf numFmtId="193" fontId="82" fillId="10" borderId="0" xfId="0" applyNumberFormat="1" applyFont="1" applyFill="1" applyAlignment="1">
      <alignment horizontal="center" vertical="center" wrapText="1"/>
    </xf>
    <xf numFmtId="174" fontId="81" fillId="10" borderId="0" xfId="0" applyNumberFormat="1" applyFont="1" applyFill="1"/>
    <xf numFmtId="0" fontId="50" fillId="10" borderId="0" xfId="0" applyFont="1" applyFill="1" applyAlignment="1">
      <alignment horizontal="center" vertical="center"/>
    </xf>
    <xf numFmtId="192" fontId="50" fillId="10" borderId="0" xfId="0" applyNumberFormat="1" applyFont="1" applyFill="1" applyAlignment="1">
      <alignment horizontal="center" vertical="center"/>
    </xf>
    <xf numFmtId="0" fontId="78" fillId="10" borderId="0" xfId="0" applyFont="1" applyFill="1"/>
    <xf numFmtId="0" fontId="83" fillId="0" borderId="0" xfId="0" applyFont="1"/>
    <xf numFmtId="0" fontId="84" fillId="12" borderId="75" xfId="0" applyFont="1" applyFill="1" applyBorder="1" applyAlignment="1">
      <alignment horizontal="center" vertical="center"/>
    </xf>
    <xf numFmtId="0" fontId="84" fillId="12" borderId="76" xfId="0" applyFont="1" applyFill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24" borderId="78" xfId="0" applyFont="1" applyFill="1" applyBorder="1" applyAlignment="1">
      <alignment horizontal="center" vertical="center"/>
    </xf>
    <xf numFmtId="0" fontId="2" fillId="0" borderId="77" xfId="0" applyFont="1" applyBorder="1" applyAlignment="1">
      <alignment horizontal="center" vertical="center" wrapText="1"/>
    </xf>
    <xf numFmtId="0" fontId="2" fillId="24" borderId="77" xfId="0" applyFont="1" applyFill="1" applyBorder="1" applyAlignment="1">
      <alignment horizontal="center" vertical="center"/>
    </xf>
    <xf numFmtId="0" fontId="2" fillId="24" borderId="77" xfId="0" applyFont="1" applyFill="1" applyBorder="1" applyAlignment="1">
      <alignment horizontal="center" vertical="center" wrapText="1"/>
    </xf>
    <xf numFmtId="0" fontId="85" fillId="24" borderId="77" xfId="0" applyFont="1" applyFill="1" applyBorder="1" applyAlignment="1">
      <alignment horizontal="center" vertical="center" wrapText="1"/>
    </xf>
    <xf numFmtId="0" fontId="86" fillId="0" borderId="0" xfId="0" applyFont="1" applyAlignment="1">
      <alignment horizontal="center" vertical="center"/>
    </xf>
    <xf numFmtId="0" fontId="87" fillId="24" borderId="77" xfId="0" applyFont="1" applyFill="1" applyBorder="1" applyAlignment="1">
      <alignment horizontal="center" vertical="center" wrapText="1"/>
    </xf>
    <xf numFmtId="0" fontId="88" fillId="24" borderId="77" xfId="0" applyFont="1" applyFill="1" applyBorder="1" applyAlignment="1">
      <alignment horizontal="center" vertical="center" wrapText="1"/>
    </xf>
    <xf numFmtId="0" fontId="85" fillId="0" borderId="77" xfId="0" applyFont="1" applyBorder="1" applyAlignment="1">
      <alignment horizontal="center" vertical="center"/>
    </xf>
    <xf numFmtId="0" fontId="88" fillId="0" borderId="77" xfId="0" applyFont="1" applyBorder="1" applyAlignment="1">
      <alignment horizontal="center" vertical="center"/>
    </xf>
    <xf numFmtId="0" fontId="2" fillId="24" borderId="79" xfId="0" applyFont="1" applyFill="1" applyBorder="1" applyAlignment="1">
      <alignment horizontal="center" vertical="center"/>
    </xf>
    <xf numFmtId="0" fontId="85" fillId="24" borderId="7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0" fillId="0" borderId="0" xfId="0" applyFont="1"/>
    <xf numFmtId="0" fontId="11" fillId="2" borderId="0" xfId="0" applyFont="1" applyFill="1" applyAlignment="1">
      <alignment horizontal="center"/>
    </xf>
    <xf numFmtId="0" fontId="12" fillId="0" borderId="1" xfId="0" applyFont="1" applyBorder="1" applyAlignment="1">
      <alignment horizontal="right"/>
    </xf>
    <xf numFmtId="0" fontId="10" fillId="0" borderId="1" xfId="0" applyFont="1" applyBorder="1"/>
    <xf numFmtId="0" fontId="13" fillId="0" borderId="2" xfId="0" applyFont="1" applyBorder="1" applyAlignment="1">
      <alignment horizontal="center"/>
    </xf>
    <xf numFmtId="0" fontId="10" fillId="0" borderId="2" xfId="0" applyFont="1" applyBorder="1"/>
    <xf numFmtId="2" fontId="11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9" fontId="7" fillId="0" borderId="0" xfId="0" applyNumberFormat="1" applyFont="1" applyAlignment="1">
      <alignment horizontal="center" vertical="center"/>
    </xf>
    <xf numFmtId="170" fontId="7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center" vertical="top"/>
    </xf>
    <xf numFmtId="0" fontId="9" fillId="0" borderId="3" xfId="0" applyFont="1" applyBorder="1" applyAlignment="1">
      <alignment horizontal="center" wrapText="1"/>
    </xf>
    <xf numFmtId="0" fontId="10" fillId="0" borderId="3" xfId="0" applyFont="1" applyBorder="1"/>
    <xf numFmtId="0" fontId="7" fillId="0" borderId="4" xfId="0" applyFont="1" applyBorder="1" applyAlignment="1">
      <alignment horizontal="center" vertical="center"/>
    </xf>
    <xf numFmtId="0" fontId="10" fillId="0" borderId="4" xfId="0" applyFont="1" applyBorder="1"/>
    <xf numFmtId="167" fontId="7" fillId="0" borderId="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5" xfId="0" applyFont="1" applyBorder="1"/>
    <xf numFmtId="0" fontId="18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0" fillId="0" borderId="7" xfId="0" applyFont="1" applyBorder="1"/>
    <xf numFmtId="0" fontId="15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10" fillId="0" borderId="8" xfId="0" applyFont="1" applyBorder="1"/>
    <xf numFmtId="0" fontId="19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" fillId="0" borderId="7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top" wrapText="1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 vertical="center"/>
    </xf>
    <xf numFmtId="15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top" wrapText="1"/>
    </xf>
    <xf numFmtId="0" fontId="20" fillId="3" borderId="0" xfId="0" applyFont="1" applyFill="1" applyAlignment="1">
      <alignment horizontal="center" vertical="top" wrapText="1"/>
    </xf>
    <xf numFmtId="172" fontId="5" fillId="3" borderId="0" xfId="0" applyNumberFormat="1" applyFont="1" applyFill="1" applyAlignment="1">
      <alignment horizontal="center" vertical="center" wrapText="1"/>
    </xf>
    <xf numFmtId="172" fontId="20" fillId="3" borderId="0" xfId="0" applyNumberFormat="1" applyFont="1" applyFill="1" applyAlignment="1">
      <alignment horizontal="center" vertical="center"/>
    </xf>
    <xf numFmtId="174" fontId="11" fillId="3" borderId="0" xfId="0" applyNumberFormat="1" applyFont="1" applyFill="1" applyAlignment="1">
      <alignment horizontal="center"/>
    </xf>
    <xf numFmtId="175" fontId="11" fillId="3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/>
    </xf>
    <xf numFmtId="174" fontId="2" fillId="3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174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6" fillId="0" borderId="7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 vertical="center"/>
    </xf>
    <xf numFmtId="174" fontId="15" fillId="0" borderId="0" xfId="0" applyNumberFormat="1" applyFont="1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7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38" fillId="4" borderId="9" xfId="0" applyFont="1" applyFill="1" applyBorder="1" applyAlignment="1">
      <alignment horizontal="center" vertical="center"/>
    </xf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39" fillId="6" borderId="0" xfId="0" applyFont="1" applyFill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32" fillId="3" borderId="3" xfId="0" applyFont="1" applyFill="1" applyBorder="1" applyAlignment="1">
      <alignment horizontal="right" vertical="center"/>
    </xf>
    <xf numFmtId="0" fontId="42" fillId="7" borderId="3" xfId="0" applyFont="1" applyFill="1" applyBorder="1" applyAlignment="1" applyProtection="1">
      <alignment horizontal="center" vertical="center"/>
      <protection locked="0"/>
    </xf>
    <xf numFmtId="0" fontId="10" fillId="0" borderId="3" xfId="0" applyFont="1" applyBorder="1" applyProtection="1">
      <protection locked="0"/>
    </xf>
    <xf numFmtId="167" fontId="43" fillId="8" borderId="3" xfId="0" applyNumberFormat="1" applyFont="1" applyFill="1" applyBorder="1" applyAlignment="1" applyProtection="1">
      <alignment horizontal="center" vertical="center"/>
      <protection locked="0"/>
    </xf>
    <xf numFmtId="0" fontId="10" fillId="0" borderId="10" xfId="0" applyFont="1" applyBorder="1" applyProtection="1">
      <protection locked="0"/>
    </xf>
    <xf numFmtId="167" fontId="45" fillId="9" borderId="17" xfId="0" applyNumberFormat="1" applyFont="1" applyFill="1" applyBorder="1" applyAlignment="1">
      <alignment horizontal="center" vertical="center"/>
    </xf>
    <xf numFmtId="0" fontId="10" fillId="0" borderId="18" xfId="0" applyFont="1" applyBorder="1"/>
    <xf numFmtId="0" fontId="8" fillId="10" borderId="0" xfId="0" applyFont="1" applyFill="1" applyAlignment="1" applyProtection="1">
      <alignment horizontal="left" vertical="center"/>
      <protection locked="0"/>
    </xf>
    <xf numFmtId="0" fontId="10" fillId="0" borderId="0" xfId="0" applyFont="1" applyProtection="1">
      <protection locked="0"/>
    </xf>
    <xf numFmtId="0" fontId="46" fillId="10" borderId="0" xfId="0" applyFont="1" applyFill="1" applyAlignment="1" applyProtection="1">
      <alignment horizontal="center" wrapText="1"/>
      <protection locked="0"/>
    </xf>
    <xf numFmtId="167" fontId="43" fillId="4" borderId="0" xfId="0" applyNumberFormat="1" applyFont="1" applyFill="1" applyAlignment="1" applyProtection="1">
      <alignment horizontal="center" vertical="center"/>
      <protection locked="0"/>
    </xf>
    <xf numFmtId="0" fontId="10" fillId="0" borderId="12" xfId="0" applyFont="1" applyBorder="1" applyProtection="1">
      <protection locked="0"/>
    </xf>
    <xf numFmtId="0" fontId="47" fillId="10" borderId="0" xfId="0" applyFont="1" applyFill="1" applyAlignment="1" applyProtection="1">
      <alignment horizontal="center"/>
      <protection locked="0"/>
    </xf>
    <xf numFmtId="167" fontId="42" fillId="11" borderId="0" xfId="0" applyNumberFormat="1" applyFont="1" applyFill="1" applyAlignment="1" applyProtection="1">
      <alignment horizontal="center" vertical="center"/>
      <protection locked="0"/>
    </xf>
    <xf numFmtId="0" fontId="8" fillId="10" borderId="1" xfId="0" applyFont="1" applyFill="1" applyBorder="1" applyAlignment="1" applyProtection="1">
      <alignment horizontal="left" vertical="center" wrapText="1"/>
      <protection locked="0"/>
    </xf>
    <xf numFmtId="0" fontId="10" fillId="0" borderId="1" xfId="0" applyFont="1" applyBorder="1" applyProtection="1">
      <protection locked="0"/>
    </xf>
    <xf numFmtId="167" fontId="42" fillId="12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14" xfId="0" applyFont="1" applyBorder="1" applyProtection="1">
      <protection locked="0"/>
    </xf>
    <xf numFmtId="0" fontId="48" fillId="9" borderId="1" xfId="0" applyFont="1" applyFill="1" applyBorder="1" applyAlignment="1" applyProtection="1">
      <alignment horizontal="center" vertical="center"/>
      <protection locked="0"/>
    </xf>
    <xf numFmtId="0" fontId="48" fillId="9" borderId="1" xfId="0" applyFont="1" applyFill="1" applyBorder="1" applyAlignment="1">
      <alignment horizontal="center" vertical="center"/>
    </xf>
    <xf numFmtId="0" fontId="32" fillId="10" borderId="19" xfId="0" applyFont="1" applyFill="1" applyBorder="1" applyAlignment="1" applyProtection="1">
      <alignment horizontal="center" vertical="center"/>
      <protection locked="0"/>
    </xf>
    <xf numFmtId="0" fontId="10" fillId="0" borderId="19" xfId="0" applyFont="1" applyBorder="1" applyProtection="1">
      <protection locked="0"/>
    </xf>
    <xf numFmtId="0" fontId="49" fillId="10" borderId="19" xfId="0" applyFont="1" applyFill="1" applyBorder="1" applyAlignment="1" applyProtection="1">
      <alignment horizontal="center" vertical="center"/>
      <protection locked="0"/>
    </xf>
    <xf numFmtId="0" fontId="50" fillId="6" borderId="3" xfId="0" applyFont="1" applyFill="1" applyBorder="1" applyAlignment="1">
      <alignment horizontal="center" vertical="center"/>
    </xf>
    <xf numFmtId="0" fontId="32" fillId="10" borderId="0" xfId="0" applyFont="1" applyFill="1" applyAlignment="1" applyProtection="1">
      <alignment horizontal="center" vertical="center"/>
      <protection locked="0"/>
    </xf>
    <xf numFmtId="2" fontId="32" fillId="10" borderId="20" xfId="0" applyNumberFormat="1" applyFont="1" applyFill="1" applyBorder="1" applyAlignment="1" applyProtection="1">
      <alignment horizontal="center" vertical="center"/>
      <protection locked="0"/>
    </xf>
    <xf numFmtId="0" fontId="10" fillId="0" borderId="20" xfId="0" applyFont="1" applyBorder="1" applyProtection="1">
      <protection locked="0"/>
    </xf>
    <xf numFmtId="0" fontId="32" fillId="13" borderId="0" xfId="0" applyFont="1" applyFill="1" applyAlignment="1">
      <alignment horizontal="right" vertical="center"/>
    </xf>
    <xf numFmtId="0" fontId="10" fillId="14" borderId="0" xfId="0" applyFont="1" applyFill="1"/>
    <xf numFmtId="0" fontId="32" fillId="10" borderId="20" xfId="0" applyFont="1" applyFill="1" applyBorder="1" applyAlignment="1" applyProtection="1">
      <alignment horizontal="center" vertical="center"/>
      <protection locked="0"/>
    </xf>
    <xf numFmtId="0" fontId="32" fillId="3" borderId="0" xfId="0" applyFont="1" applyFill="1" applyAlignment="1">
      <alignment horizontal="right" vertical="center"/>
    </xf>
    <xf numFmtId="0" fontId="49" fillId="10" borderId="0" xfId="0" applyFont="1" applyFill="1" applyAlignment="1" applyProtection="1">
      <alignment horizontal="center" vertical="center"/>
      <protection locked="0"/>
    </xf>
    <xf numFmtId="0" fontId="52" fillId="10" borderId="23" xfId="0" applyFont="1" applyFill="1" applyBorder="1" applyAlignment="1" applyProtection="1">
      <alignment horizontal="center" vertical="center"/>
      <protection locked="0"/>
    </xf>
    <xf numFmtId="0" fontId="10" fillId="0" borderId="23" xfId="0" applyFont="1" applyBorder="1" applyProtection="1">
      <protection locked="0"/>
    </xf>
    <xf numFmtId="177" fontId="32" fillId="10" borderId="24" xfId="0" applyNumberFormat="1" applyFont="1" applyFill="1" applyBorder="1" applyAlignment="1" applyProtection="1">
      <alignment horizontal="center" vertical="center"/>
      <protection locked="0"/>
    </xf>
    <xf numFmtId="0" fontId="10" fillId="0" borderId="24" xfId="0" applyFont="1" applyBorder="1" applyProtection="1">
      <protection locked="0"/>
    </xf>
    <xf numFmtId="0" fontId="32" fillId="3" borderId="25" xfId="0" applyFont="1" applyFill="1" applyBorder="1" applyAlignment="1">
      <alignment horizontal="right" vertical="center"/>
    </xf>
    <xf numFmtId="0" fontId="32" fillId="3" borderId="1" xfId="0" applyFont="1" applyFill="1" applyBorder="1" applyAlignment="1">
      <alignment horizontal="right" vertical="center"/>
    </xf>
    <xf numFmtId="169" fontId="32" fillId="10" borderId="23" xfId="0" applyNumberFormat="1" applyFont="1" applyFill="1" applyBorder="1" applyAlignment="1" applyProtection="1">
      <alignment horizontal="center" vertical="center"/>
      <protection locked="0"/>
    </xf>
    <xf numFmtId="0" fontId="54" fillId="3" borderId="2" xfId="0" applyFont="1" applyFill="1" applyBorder="1" applyAlignment="1">
      <alignment horizontal="center" vertical="center"/>
    </xf>
    <xf numFmtId="0" fontId="55" fillId="10" borderId="2" xfId="0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Protection="1">
      <protection locked="0"/>
    </xf>
    <xf numFmtId="0" fontId="32" fillId="3" borderId="2" xfId="0" applyFont="1" applyFill="1" applyBorder="1" applyAlignment="1">
      <alignment horizontal="right" vertical="center"/>
    </xf>
    <xf numFmtId="0" fontId="56" fillId="6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2" fillId="6" borderId="11" xfId="0" applyFont="1" applyFill="1" applyBorder="1" applyAlignment="1">
      <alignment horizontal="center" vertical="center"/>
    </xf>
    <xf numFmtId="0" fontId="42" fillId="6" borderId="25" xfId="0" applyFont="1" applyFill="1" applyBorder="1" applyAlignment="1">
      <alignment horizontal="center" vertical="center"/>
    </xf>
    <xf numFmtId="0" fontId="10" fillId="0" borderId="26" xfId="0" applyFont="1" applyBorder="1"/>
    <xf numFmtId="0" fontId="54" fillId="18" borderId="0" xfId="0" applyFont="1" applyFill="1" applyAlignment="1">
      <alignment horizontal="center" vertical="center" wrapText="1"/>
    </xf>
    <xf numFmtId="0" fontId="54" fillId="11" borderId="0" xfId="0" applyFont="1" applyFill="1" applyAlignment="1">
      <alignment horizontal="center" vertical="center" wrapText="1"/>
    </xf>
    <xf numFmtId="0" fontId="60" fillId="6" borderId="1" xfId="0" applyFont="1" applyFill="1" applyBorder="1" applyAlignment="1">
      <alignment horizontal="center" vertical="center"/>
    </xf>
    <xf numFmtId="0" fontId="32" fillId="3" borderId="39" xfId="0" applyFont="1" applyFill="1" applyBorder="1" applyAlignment="1">
      <alignment horizontal="center" vertical="center" wrapText="1"/>
    </xf>
    <xf numFmtId="0" fontId="10" fillId="0" borderId="44" xfId="0" applyFont="1" applyBorder="1"/>
    <xf numFmtId="0" fontId="43" fillId="19" borderId="39" xfId="0" applyFont="1" applyFill="1" applyBorder="1" applyAlignment="1">
      <alignment horizontal="center" vertical="center" wrapText="1"/>
    </xf>
    <xf numFmtId="0" fontId="72" fillId="9" borderId="9" xfId="0" applyFont="1" applyFill="1" applyBorder="1" applyAlignment="1">
      <alignment horizontal="center"/>
    </xf>
    <xf numFmtId="0" fontId="72" fillId="6" borderId="9" xfId="0" applyFont="1" applyFill="1" applyBorder="1" applyAlignment="1">
      <alignment horizontal="center"/>
    </xf>
    <xf numFmtId="0" fontId="75" fillId="9" borderId="0" xfId="0" applyFont="1" applyFill="1" applyAlignment="1">
      <alignment horizontal="center" vertical="center"/>
    </xf>
    <xf numFmtId="0" fontId="77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right" vertical="center"/>
    </xf>
    <xf numFmtId="0" fontId="50" fillId="10" borderId="0" xfId="0" applyFont="1" applyFill="1" applyAlignment="1">
      <alignment horizontal="right" vertical="center" wrapText="1"/>
    </xf>
    <xf numFmtId="0" fontId="10" fillId="0" borderId="55" xfId="0" applyFont="1" applyBorder="1"/>
    <xf numFmtId="0" fontId="61" fillId="0" borderId="0" xfId="0" applyFont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61" fillId="10" borderId="0" xfId="0" applyFont="1" applyFill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188" fontId="6" fillId="0" borderId="0" xfId="0" applyNumberFormat="1" applyFont="1" applyAlignment="1">
      <alignment horizontal="center" vertical="center"/>
    </xf>
    <xf numFmtId="0" fontId="3" fillId="10" borderId="56" xfId="0" applyFont="1" applyFill="1" applyBorder="1" applyAlignment="1">
      <alignment horizontal="center" vertical="center" wrapText="1"/>
    </xf>
    <xf numFmtId="0" fontId="10" fillId="0" borderId="20" xfId="0" applyFont="1" applyBorder="1"/>
    <xf numFmtId="0" fontId="10" fillId="0" borderId="58" xfId="0" applyFont="1" applyBorder="1"/>
    <xf numFmtId="0" fontId="50" fillId="10" borderId="72" xfId="0" applyFont="1" applyFill="1" applyBorder="1" applyAlignment="1">
      <alignment horizontal="center" vertical="center" wrapText="1"/>
    </xf>
    <xf numFmtId="0" fontId="10" fillId="0" borderId="73" xfId="0" applyFont="1" applyBorder="1"/>
    <xf numFmtId="0" fontId="50" fillId="10" borderId="5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5</xdr:row>
      <xdr:rowOff>0</xdr:rowOff>
    </xdr:from>
    <xdr:ext cx="2295525" cy="13620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2419350" cy="15430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72" headerRowCount="0">
  <tableColumns count="7">
    <tableColumn id="1" xr3:uid="{00000000-0010-0000-0000-000001000000}" name="NOMBRE"/>
    <tableColumn id="2" xr3:uid="{00000000-0010-0000-0000-000002000000}" name="Cliente"/>
    <tableColumn id="3" xr3:uid="{00000000-0010-0000-0000-000003000000}" name="Domicilio"/>
    <tableColumn id="4" xr3:uid="{00000000-0010-0000-0000-000004000000}" name="Contacto"/>
    <tableColumn id="5" xr3:uid="{00000000-0010-0000-0000-000005000000}" name="Correo"/>
    <tableColumn id="6" xr3:uid="{00000000-0010-0000-0000-000006000000}" name="Tel"/>
    <tableColumn id="7" xr3:uid="{00000000-0010-0000-0000-000007000000}" name="Ext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3" displayName="Tabla3" ref="A1:E2" headerRowCount="0">
  <tableColumns count="5">
    <tableColumn id="1" xr3:uid="{00000000-0010-0000-0100-000001000000}" name="Nombre"/>
    <tableColumn id="2" xr3:uid="{00000000-0010-0000-0100-000002000000}" name="Domicilio"/>
    <tableColumn id="3" xr3:uid="{00000000-0010-0000-0100-000003000000}" name="Contacto"/>
    <tableColumn id="4" xr3:uid="{00000000-0010-0000-0100-000004000000}" name="Correo"/>
    <tableColumn id="5" xr3:uid="{00000000-0010-0000-0100-000005000000}" name="Telefono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maqplastics@gmail.com" TargetMode="External"/><Relationship Id="rId13" Type="http://schemas.openxmlformats.org/officeDocument/2006/relationships/hyperlink" Target="mailto:galindo.nehemias@mx.panasonic.com" TargetMode="External"/><Relationship Id="rId18" Type="http://schemas.openxmlformats.org/officeDocument/2006/relationships/hyperlink" Target="mailto:compras.operativas@rase.com.mx" TargetMode="External"/><Relationship Id="rId26" Type="http://schemas.openxmlformats.org/officeDocument/2006/relationships/hyperlink" Target="mailto:ilse.z@starion.co.kr" TargetMode="External"/><Relationship Id="rId3" Type="http://schemas.openxmlformats.org/officeDocument/2006/relationships/hyperlink" Target="mailto:nmonteroo@celestica.com" TargetMode="External"/><Relationship Id="rId21" Type="http://schemas.openxmlformats.org/officeDocument/2006/relationships/hyperlink" Target="mailto:aurora.reta@gruporyl.com" TargetMode="External"/><Relationship Id="rId7" Type="http://schemas.openxmlformats.org/officeDocument/2006/relationships/hyperlink" Target="mailto:Cesar.Sanchez@ke-elektronik.de" TargetMode="External"/><Relationship Id="rId12" Type="http://schemas.openxmlformats.org/officeDocument/2006/relationships/hyperlink" Target="mailto:acompras@oemsupply.mx" TargetMode="External"/><Relationship Id="rId17" Type="http://schemas.openxmlformats.org/officeDocument/2006/relationships/hyperlink" Target="mailto:obet.martinez@qualitechrim.com" TargetMode="External"/><Relationship Id="rId25" Type="http://schemas.openxmlformats.org/officeDocument/2006/relationships/hyperlink" Target="mailto:Katia.Garcia@smurfitkappa.com" TargetMode="External"/><Relationship Id="rId2" Type="http://schemas.openxmlformats.org/officeDocument/2006/relationships/hyperlink" Target="mailto:jsantos.valenciano@carrier.com" TargetMode="External"/><Relationship Id="rId16" Type="http://schemas.openxmlformats.org/officeDocument/2006/relationships/hyperlink" Target="mailto:janguiano@grupominco.com" TargetMode="External"/><Relationship Id="rId20" Type="http://schemas.openxmlformats.org/officeDocument/2006/relationships/hyperlink" Target="mailto:Calidad@rgfoods.com.mx" TargetMode="External"/><Relationship Id="rId29" Type="http://schemas.openxmlformats.org/officeDocument/2006/relationships/hyperlink" Target="mailto:Francisco.Aguilar@cadrex.com" TargetMode="External"/><Relationship Id="rId1" Type="http://schemas.openxmlformats.org/officeDocument/2006/relationships/hyperlink" Target="mailto:eleaser.vazquez@carrier.com" TargetMode="External"/><Relationship Id="rId6" Type="http://schemas.openxmlformats.org/officeDocument/2006/relationships/hyperlink" Target="mailto:martin.meza@katcon.com" TargetMode="External"/><Relationship Id="rId11" Type="http://schemas.openxmlformats.org/officeDocument/2006/relationships/hyperlink" Target="mailto:jperalez@metricsworks.com" TargetMode="External"/><Relationship Id="rId24" Type="http://schemas.openxmlformats.org/officeDocument/2006/relationships/hyperlink" Target="mailto:calidad2@machs.com.mx" TargetMode="External"/><Relationship Id="rId5" Type="http://schemas.openxmlformats.org/officeDocument/2006/relationships/hyperlink" Target="mailto:victoreliudgarciarodriguez@celestica.com" TargetMode="External"/><Relationship Id="rId15" Type="http://schemas.openxmlformats.org/officeDocument/2006/relationships/hyperlink" Target="mailto:sgonzalez@phillipsind.com" TargetMode="External"/><Relationship Id="rId23" Type="http://schemas.openxmlformats.org/officeDocument/2006/relationships/hyperlink" Target="mailto:cmendoza@seniormexico.com" TargetMode="External"/><Relationship Id="rId28" Type="http://schemas.openxmlformats.org/officeDocument/2006/relationships/hyperlink" Target="mailto:laboratorio@tecnotrat.com.mx" TargetMode="External"/><Relationship Id="rId10" Type="http://schemas.openxmlformats.org/officeDocument/2006/relationships/hyperlink" Target="mailto:mvazquez@melter.com.mx" TargetMode="External"/><Relationship Id="rId19" Type="http://schemas.openxmlformats.org/officeDocument/2006/relationships/hyperlink" Target="mailto:almadelia.lopez@regalrexnord.com" TargetMode="External"/><Relationship Id="rId31" Type="http://schemas.openxmlformats.org/officeDocument/2006/relationships/table" Target="../tables/table1.xml"/><Relationship Id="rId4" Type="http://schemas.openxmlformats.org/officeDocument/2006/relationships/hyperlink" Target="mailto:Rogelio.ramos@edwardsvacuum.com" TargetMode="External"/><Relationship Id="rId9" Type="http://schemas.openxmlformats.org/officeDocument/2006/relationships/hyperlink" Target="mailto:cesar.quiroga@marsto.com.mx" TargetMode="External"/><Relationship Id="rId14" Type="http://schemas.openxmlformats.org/officeDocument/2006/relationships/hyperlink" Target="mailto:everardo.aldaba@pentair.com" TargetMode="External"/><Relationship Id="rId22" Type="http://schemas.openxmlformats.org/officeDocument/2006/relationships/hyperlink" Target="mailto:rogelio.obregon@coavis.com" TargetMode="External"/><Relationship Id="rId27" Type="http://schemas.openxmlformats.org/officeDocument/2006/relationships/hyperlink" Target="mailto:rquintanilla@steeltechnologies.com.mx" TargetMode="External"/><Relationship Id="rId30" Type="http://schemas.openxmlformats.org/officeDocument/2006/relationships/hyperlink" Target="mailto:jacobo.aguilar@voestalpine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view="pageBreakPreview" zoomScale="39" zoomScaleNormal="100" workbookViewId="0">
      <selection activeCell="E1" sqref="E1"/>
    </sheetView>
  </sheetViews>
  <sheetFormatPr baseColWidth="10" defaultColWidth="14.44140625" defaultRowHeight="14.4"/>
  <cols>
    <col min="1" max="1" width="12.33203125" customWidth="1"/>
    <col min="2" max="2" width="13.5546875" customWidth="1"/>
    <col min="3" max="3" width="31.44140625" customWidth="1"/>
    <col min="4" max="4" width="22.44140625" customWidth="1"/>
    <col min="5" max="5" width="34.88671875" customWidth="1"/>
    <col min="6" max="6" width="20" customWidth="1"/>
    <col min="7" max="7" width="18.88671875" customWidth="1"/>
    <col min="8" max="8" width="27.33203125" customWidth="1"/>
    <col min="9" max="9" width="20.6640625" customWidth="1"/>
    <col min="10" max="10" width="20.5546875" customWidth="1"/>
    <col min="11" max="11" width="12.5546875" customWidth="1"/>
    <col min="12" max="25" width="11.44140625" customWidth="1"/>
    <col min="26" max="26" width="10.664062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412" t="s">
        <v>0</v>
      </c>
      <c r="N1" s="413"/>
      <c r="O1" s="413"/>
      <c r="P1" s="413"/>
      <c r="Q1" s="413"/>
      <c r="R1" s="413"/>
      <c r="S1" s="413"/>
      <c r="T1" s="413"/>
      <c r="U1" s="413"/>
      <c r="V1" s="413"/>
      <c r="W1" s="2"/>
      <c r="X1" s="2"/>
      <c r="Y1" s="2"/>
      <c r="Z1" s="2"/>
    </row>
    <row r="2" spans="1:26" ht="37.5" customHeight="1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2"/>
      <c r="M2" s="413"/>
      <c r="N2" s="413"/>
      <c r="O2" s="413"/>
      <c r="P2" s="413"/>
      <c r="Q2" s="413"/>
      <c r="R2" s="413"/>
      <c r="S2" s="413"/>
      <c r="T2" s="413"/>
      <c r="U2" s="413"/>
      <c r="V2" s="413"/>
      <c r="W2" s="2"/>
      <c r="X2" s="2"/>
      <c r="Y2" s="2"/>
      <c r="Z2" s="2"/>
    </row>
    <row r="3" spans="1:26" ht="35.25" customHeight="1">
      <c r="A3" s="1"/>
      <c r="B3" s="1"/>
      <c r="C3" s="1"/>
      <c r="D3" s="1"/>
      <c r="E3" s="1"/>
      <c r="F3" s="1"/>
      <c r="G3" s="1"/>
      <c r="H3" s="1"/>
      <c r="K3" s="1"/>
      <c r="L3" s="2"/>
      <c r="M3" s="413"/>
      <c r="N3" s="413"/>
      <c r="O3" s="413"/>
      <c r="P3" s="413"/>
      <c r="Q3" s="413"/>
      <c r="R3" s="413"/>
      <c r="S3" s="413"/>
      <c r="T3" s="413"/>
      <c r="U3" s="413"/>
      <c r="V3" s="413"/>
      <c r="W3" s="2"/>
      <c r="X3" s="2"/>
      <c r="Y3" s="4"/>
      <c r="Z3" s="2"/>
    </row>
    <row r="4" spans="1:26" ht="37.5" customHeight="1">
      <c r="A4" s="1"/>
      <c r="B4" s="1"/>
      <c r="C4" s="1"/>
      <c r="D4" s="1"/>
      <c r="E4" s="1"/>
      <c r="F4" s="1" t="s">
        <v>1</v>
      </c>
      <c r="G4" s="1"/>
      <c r="H4" s="1"/>
      <c r="I4" s="1"/>
      <c r="J4" s="1"/>
      <c r="K4" s="1"/>
      <c r="L4" s="2"/>
      <c r="M4" s="413"/>
      <c r="N4" s="413"/>
      <c r="O4" s="413"/>
      <c r="P4" s="413"/>
      <c r="Q4" s="413"/>
      <c r="R4" s="413"/>
      <c r="S4" s="413"/>
      <c r="T4" s="413"/>
      <c r="U4" s="413"/>
      <c r="V4" s="413"/>
      <c r="W4" s="2"/>
      <c r="X4" s="2"/>
      <c r="Y4" s="5"/>
      <c r="Z4" s="2"/>
    </row>
    <row r="5" spans="1:26" ht="19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413"/>
      <c r="N5" s="413"/>
      <c r="O5" s="413"/>
      <c r="P5" s="413"/>
      <c r="Q5" s="413"/>
      <c r="R5" s="413"/>
      <c r="S5" s="413"/>
      <c r="T5" s="413"/>
      <c r="U5" s="413"/>
      <c r="V5" s="413"/>
      <c r="W5" s="2"/>
      <c r="X5" s="2"/>
      <c r="Y5" s="4"/>
      <c r="Z5" s="2"/>
    </row>
    <row r="6" spans="1:26" ht="1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2"/>
      <c r="M6" s="413"/>
      <c r="N6" s="413"/>
      <c r="O6" s="413"/>
      <c r="P6" s="413"/>
      <c r="Q6" s="413"/>
      <c r="R6" s="413"/>
      <c r="S6" s="413"/>
      <c r="T6" s="413"/>
      <c r="U6" s="413"/>
      <c r="V6" s="413"/>
      <c r="W6" s="2"/>
      <c r="X6" s="2"/>
      <c r="Y6" s="5"/>
      <c r="Z6" s="2"/>
    </row>
    <row r="7" spans="1:26" ht="15" customHeight="1">
      <c r="A7" s="6"/>
      <c r="C7" s="6"/>
      <c r="D7" s="414" t="s">
        <v>2</v>
      </c>
      <c r="E7" s="413"/>
      <c r="F7" s="413"/>
      <c r="G7" s="413"/>
      <c r="H7" s="413"/>
      <c r="I7" s="6"/>
      <c r="J7" s="6"/>
      <c r="K7" s="6"/>
      <c r="L7" s="2"/>
      <c r="M7" s="413"/>
      <c r="N7" s="413"/>
      <c r="O7" s="413"/>
      <c r="P7" s="413"/>
      <c r="Q7" s="413"/>
      <c r="R7" s="413"/>
      <c r="S7" s="413"/>
      <c r="T7" s="413"/>
      <c r="U7" s="413"/>
      <c r="V7" s="413"/>
      <c r="W7" s="2"/>
      <c r="X7" s="2"/>
      <c r="Y7" s="4"/>
      <c r="Z7" s="2"/>
    </row>
    <row r="8" spans="1:26" ht="15" customHeight="1">
      <c r="A8" s="6"/>
      <c r="B8" s="6"/>
      <c r="C8" s="6"/>
      <c r="D8" s="413"/>
      <c r="E8" s="413"/>
      <c r="F8" s="413"/>
      <c r="G8" s="413"/>
      <c r="H8" s="413"/>
      <c r="I8" s="7" t="s">
        <v>3</v>
      </c>
      <c r="J8" s="8" t="s">
        <v>4</v>
      </c>
      <c r="K8" s="6"/>
      <c r="L8" s="2"/>
      <c r="M8" s="413"/>
      <c r="N8" s="413"/>
      <c r="O8" s="413"/>
      <c r="P8" s="413"/>
      <c r="Q8" s="413"/>
      <c r="R8" s="413"/>
      <c r="S8" s="413"/>
      <c r="T8" s="413"/>
      <c r="U8" s="413"/>
      <c r="V8" s="413"/>
      <c r="W8" s="2"/>
      <c r="X8" s="2"/>
      <c r="Y8" s="2"/>
      <c r="Z8" s="2"/>
    </row>
    <row r="9" spans="1:26" ht="22.8" customHeight="1">
      <c r="A9" s="9"/>
      <c r="B9" s="9"/>
      <c r="C9" s="9"/>
      <c r="D9" s="9"/>
      <c r="E9" s="9"/>
      <c r="F9" s="9"/>
      <c r="G9" s="9"/>
      <c r="H9" s="10" t="s">
        <v>5</v>
      </c>
      <c r="I9" s="415" t="str">
        <f>Calculos!E4</f>
        <v>AGP-0100-26</v>
      </c>
      <c r="J9" s="413"/>
      <c r="K9" s="9"/>
      <c r="L9" s="2"/>
      <c r="M9" s="4"/>
      <c r="N9" s="416"/>
      <c r="O9" s="417"/>
      <c r="P9" s="5"/>
      <c r="Q9" s="4"/>
      <c r="R9" s="418"/>
      <c r="S9" s="417"/>
      <c r="T9" s="2"/>
      <c r="U9" s="2"/>
      <c r="V9" s="2"/>
      <c r="W9" s="2"/>
      <c r="X9" s="2"/>
      <c r="Y9" s="4"/>
      <c r="Z9" s="2"/>
    </row>
    <row r="10" spans="1:26" ht="22.8" customHeight="1">
      <c r="A10" s="9"/>
      <c r="B10" s="9"/>
      <c r="C10" s="9"/>
      <c r="D10" s="9"/>
      <c r="E10" s="9"/>
      <c r="F10" s="9"/>
      <c r="G10" s="419"/>
      <c r="H10" s="420"/>
      <c r="I10" s="13"/>
      <c r="J10" s="13"/>
      <c r="K10" s="9"/>
      <c r="L10" s="2"/>
      <c r="M10" s="4"/>
      <c r="N10" s="11"/>
      <c r="O10" s="11"/>
      <c r="P10" s="5"/>
      <c r="Q10" s="4"/>
      <c r="R10" s="12"/>
      <c r="S10" s="12"/>
      <c r="T10" s="2"/>
      <c r="U10" s="2"/>
      <c r="V10" s="2"/>
      <c r="W10" s="2"/>
      <c r="X10" s="2"/>
      <c r="Y10" s="4"/>
      <c r="Z10" s="2"/>
    </row>
    <row r="11" spans="1:26" ht="17.399999999999999" customHeight="1">
      <c r="A11" s="1"/>
      <c r="B11" s="421" t="s">
        <v>6</v>
      </c>
      <c r="C11" s="422"/>
      <c r="D11" s="422"/>
      <c r="E11" s="422"/>
      <c r="F11" s="422"/>
      <c r="G11" s="422"/>
      <c r="H11" s="422"/>
      <c r="I11" s="422"/>
      <c r="J11" s="422"/>
      <c r="K11" s="14"/>
      <c r="L11" s="2"/>
      <c r="M11" s="4"/>
      <c r="N11" s="416"/>
      <c r="O11" s="417"/>
      <c r="P11" s="5"/>
      <c r="Q11" s="4"/>
      <c r="R11" s="423"/>
      <c r="S11" s="417"/>
      <c r="T11" s="2"/>
      <c r="U11" s="2"/>
      <c r="V11" s="2"/>
      <c r="W11" s="2"/>
      <c r="X11" s="2"/>
      <c r="Y11" s="2"/>
      <c r="Z11" s="2"/>
    </row>
    <row r="12" spans="1:26" ht="14.4" customHeight="1">
      <c r="A12" s="15"/>
      <c r="B12" s="15"/>
      <c r="C12" s="15"/>
      <c r="D12" s="15"/>
      <c r="E12" s="15"/>
      <c r="F12" s="1"/>
      <c r="G12" s="1"/>
      <c r="H12" s="1"/>
      <c r="I12" s="1"/>
      <c r="J12" s="1"/>
      <c r="K12" s="1"/>
      <c r="L12" s="2"/>
      <c r="M12" s="4"/>
      <c r="N12" s="416"/>
      <c r="O12" s="417"/>
      <c r="P12" s="5"/>
      <c r="Q12" s="4"/>
      <c r="R12" s="416"/>
      <c r="S12" s="417"/>
      <c r="T12" s="2"/>
      <c r="U12" s="2"/>
      <c r="V12" s="2"/>
      <c r="W12" s="2"/>
      <c r="X12" s="2"/>
      <c r="Y12" s="2"/>
      <c r="Z12" s="2"/>
    </row>
    <row r="13" spans="1:26" ht="15.6" customHeight="1">
      <c r="A13" s="16"/>
      <c r="B13" s="17" t="str">
        <f>Calculos!A5</f>
        <v>Cliente:</v>
      </c>
      <c r="C13" s="424" t="str">
        <f>Calculos!A4</f>
        <v>Metrics Works Saltillo</v>
      </c>
      <c r="D13" s="413"/>
      <c r="E13" s="413"/>
      <c r="F13" s="413"/>
      <c r="G13" s="413"/>
      <c r="H13" s="413"/>
      <c r="I13" s="413"/>
      <c r="J13" s="413"/>
      <c r="K13" s="1"/>
      <c r="L13" s="2"/>
      <c r="M13" s="4"/>
      <c r="N13" s="416"/>
      <c r="O13" s="417"/>
      <c r="P13" s="5"/>
      <c r="Q13" s="4"/>
      <c r="R13" s="416"/>
      <c r="S13" s="417"/>
      <c r="T13" s="2"/>
      <c r="U13" s="2"/>
      <c r="V13" s="2"/>
      <c r="W13" s="2"/>
      <c r="X13" s="2"/>
      <c r="Y13" s="2"/>
      <c r="Z13" s="2"/>
    </row>
    <row r="14" spans="1:26" ht="15.6" customHeight="1">
      <c r="A14" s="16"/>
      <c r="B14" s="17" t="str">
        <f>Calculos!A6</f>
        <v>Domicilio:</v>
      </c>
      <c r="C14" s="424" t="str">
        <f>Calculos!B6</f>
        <v>Carr. Querétaro-Tequisquiapan 22500-A, 76270 Santiago de Querétaro, Qro.</v>
      </c>
      <c r="D14" s="413"/>
      <c r="E14" s="413"/>
      <c r="F14" s="413"/>
      <c r="G14" s="413"/>
      <c r="H14" s="413"/>
      <c r="I14" s="413"/>
      <c r="J14" s="413"/>
      <c r="K14" s="1"/>
      <c r="L14" s="2"/>
      <c r="M14" s="4"/>
      <c r="N14" s="416"/>
      <c r="O14" s="417"/>
      <c r="P14" s="5"/>
      <c r="Q14" s="5"/>
      <c r="R14" s="5"/>
      <c r="S14" s="4"/>
      <c r="T14" s="5"/>
      <c r="U14" s="2"/>
      <c r="V14" s="2"/>
      <c r="W14" s="2"/>
      <c r="X14" s="2"/>
      <c r="Y14" s="2"/>
      <c r="Z14" s="2"/>
    </row>
    <row r="15" spans="1:26" ht="15.6" customHeight="1">
      <c r="A15" s="16"/>
      <c r="B15" s="17" t="str">
        <f>Calculos!A7</f>
        <v>Contacto:</v>
      </c>
      <c r="C15" s="426" t="str">
        <f>Calculos!B7</f>
        <v>Ing. Wilfrido Nuñez</v>
      </c>
      <c r="D15" s="17" t="str">
        <f>Calculos!D6</f>
        <v>Tel:</v>
      </c>
      <c r="E15" s="18" t="str">
        <f>Calculos!E6</f>
        <v>(44) 2480 7334</v>
      </c>
      <c r="F15" s="17" t="str">
        <f>Calculos!D7</f>
        <v>Ext:</v>
      </c>
      <c r="G15" s="18" t="str">
        <f>Calculos!E7</f>
        <v>N/A</v>
      </c>
      <c r="H15" s="17" t="str">
        <f>Calculos!D5</f>
        <v>Correo:</v>
      </c>
      <c r="I15" s="425" t="str">
        <f>Calculos!E5</f>
        <v>JOSEW.NUNEZ@TECHOPS.MX</v>
      </c>
      <c r="J15" s="413"/>
      <c r="K15" s="19"/>
      <c r="L15" s="2"/>
      <c r="M15" s="4"/>
      <c r="N15" s="416"/>
      <c r="O15" s="417"/>
      <c r="P15" s="5"/>
      <c r="Q15" s="5"/>
      <c r="R15" s="5"/>
      <c r="S15" s="4"/>
      <c r="T15" s="5"/>
      <c r="U15" s="2"/>
      <c r="V15" s="2"/>
      <c r="W15" s="2"/>
      <c r="X15" s="2"/>
      <c r="Y15" s="2"/>
      <c r="Z15" s="2"/>
    </row>
    <row r="16" spans="1:26" ht="48" customHeight="1">
      <c r="A16" s="16"/>
      <c r="C16" s="413"/>
      <c r="D16" s="20"/>
      <c r="G16" s="20"/>
      <c r="I16" s="413"/>
      <c r="J16" s="413"/>
      <c r="K16" s="21"/>
      <c r="L16" s="2"/>
      <c r="M16" s="4"/>
      <c r="N16" s="416"/>
      <c r="O16" s="417"/>
      <c r="P16" s="5"/>
      <c r="Q16" s="5"/>
      <c r="R16" s="5"/>
      <c r="S16" s="4"/>
      <c r="T16" s="5"/>
      <c r="U16" s="2"/>
      <c r="V16" s="2"/>
      <c r="W16" s="2"/>
      <c r="X16" s="2"/>
      <c r="Y16" s="2"/>
      <c r="Z16" s="2"/>
    </row>
    <row r="17" spans="1:26" ht="14.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.399999999999999" customHeight="1">
      <c r="A18" s="1"/>
      <c r="B18" s="421" t="s">
        <v>7</v>
      </c>
      <c r="C18" s="422"/>
      <c r="D18" s="422"/>
      <c r="E18" s="422"/>
      <c r="F18" s="422"/>
      <c r="G18" s="422"/>
      <c r="H18" s="422"/>
      <c r="I18" s="422"/>
      <c r="J18" s="422"/>
      <c r="K18" s="1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 customHeight="1">
      <c r="A20" s="1"/>
      <c r="C20" s="10" t="str">
        <f>Calculos!A9</f>
        <v>Instrumento:</v>
      </c>
      <c r="D20" s="427">
        <f>Calculos!B9</f>
        <v>0</v>
      </c>
      <c r="E20" s="413"/>
      <c r="F20" s="1"/>
      <c r="G20" s="1"/>
      <c r="H20" s="10" t="str">
        <f>Calculos!E9</f>
        <v>ID:</v>
      </c>
      <c r="I20" s="427">
        <f>Calculos!F9</f>
        <v>1651</v>
      </c>
      <c r="J20" s="413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/>
      <c r="C21" s="22"/>
      <c r="D21" s="413"/>
      <c r="E21" s="413"/>
      <c r="F21" s="1"/>
      <c r="G21" s="1"/>
      <c r="H21" s="22"/>
      <c r="I21" s="413"/>
      <c r="J21" s="413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/>
      <c r="C22" s="10" t="str">
        <f>Calculos!A10</f>
        <v>Marca:</v>
      </c>
      <c r="D22" s="427">
        <f>Calculos!B10</f>
        <v>0</v>
      </c>
      <c r="E22" s="413"/>
      <c r="F22" s="1"/>
      <c r="G22" s="1"/>
      <c r="H22" s="10" t="str">
        <f>Calculos!E10</f>
        <v>Alcance de Medición:</v>
      </c>
      <c r="I22" s="23">
        <f>Calculos!F10</f>
        <v>0.2</v>
      </c>
      <c r="J22" s="24" t="str">
        <f>Calculos!J10</f>
        <v>psi</v>
      </c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"/>
      <c r="C23" s="22"/>
      <c r="D23" s="413"/>
      <c r="E23" s="413"/>
      <c r="F23" s="1"/>
      <c r="G23" s="1"/>
      <c r="H23" s="22"/>
      <c r="I23" s="8"/>
      <c r="J23" s="8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"/>
      <c r="C24" s="10">
        <f>Calculos!A11</f>
        <v>0</v>
      </c>
      <c r="D24" s="427">
        <f>Calculos!B11</f>
        <v>0</v>
      </c>
      <c r="E24" s="413"/>
      <c r="F24" s="1"/>
      <c r="G24" s="1"/>
      <c r="H24" s="10" t="str">
        <f>Calculos!E11</f>
        <v>Magnitud:</v>
      </c>
      <c r="I24" s="415" t="str">
        <f>Calculos!F11</f>
        <v>Presión</v>
      </c>
      <c r="J24" s="413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"/>
      <c r="C25" s="10"/>
      <c r="D25" s="413"/>
      <c r="E25" s="413"/>
      <c r="F25" s="1"/>
      <c r="G25" s="1"/>
      <c r="H25" s="10"/>
      <c r="I25" s="8"/>
      <c r="J25" s="8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/>
      <c r="C26" s="10" t="str">
        <f>Calculos!A12</f>
        <v>No de Serie:</v>
      </c>
      <c r="D26" s="427">
        <f>Calculos!B12</f>
        <v>0</v>
      </c>
      <c r="E26" s="413"/>
      <c r="F26" s="1"/>
      <c r="G26" s="1"/>
      <c r="H26" s="10" t="str">
        <f>Calculos!E12</f>
        <v>Ubicación</v>
      </c>
      <c r="I26" s="427" t="str">
        <f>Calculos!F12</f>
        <v>N/A</v>
      </c>
      <c r="J26" s="413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/>
      <c r="C27" s="25"/>
      <c r="D27" s="413"/>
      <c r="E27" s="413"/>
      <c r="F27" s="1"/>
      <c r="G27" s="1"/>
      <c r="H27" s="10"/>
      <c r="I27" s="413"/>
      <c r="J27" s="413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2" customHeight="1">
      <c r="A28" s="1"/>
      <c r="B28" s="16"/>
      <c r="C28" s="26"/>
      <c r="D28" s="27"/>
      <c r="E28" s="27"/>
      <c r="F28" s="27"/>
      <c r="G28" s="27"/>
      <c r="H28" s="25"/>
      <c r="I28" s="428"/>
      <c r="J28" s="413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"/>
      <c r="B30" s="421" t="s">
        <v>8</v>
      </c>
      <c r="C30" s="422"/>
      <c r="D30" s="422"/>
      <c r="E30" s="422"/>
      <c r="F30" s="422"/>
      <c r="G30" s="422"/>
      <c r="H30" s="422"/>
      <c r="I30" s="422"/>
      <c r="J30" s="422"/>
      <c r="K30" s="1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"/>
      <c r="B32" s="1"/>
      <c r="C32" s="10" t="s">
        <v>9</v>
      </c>
      <c r="D32" s="429" t="str">
        <f>Calculos!I4</f>
        <v>Servicio en Sitio</v>
      </c>
      <c r="E32" s="413"/>
      <c r="F32" s="1"/>
      <c r="G32" s="8"/>
      <c r="H32" s="10" t="s">
        <v>10</v>
      </c>
      <c r="I32" s="430" t="s">
        <v>11</v>
      </c>
      <c r="J32" s="413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"/>
      <c r="B33" s="1"/>
      <c r="C33" s="8"/>
      <c r="D33" s="29"/>
      <c r="E33" s="30"/>
      <c r="F33" s="1"/>
      <c r="G33" s="8"/>
      <c r="H33" s="10"/>
      <c r="I33" s="430" t="s">
        <v>12</v>
      </c>
      <c r="J33" s="413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"/>
      <c r="B34" s="1"/>
      <c r="C34" s="10" t="s">
        <v>13</v>
      </c>
      <c r="D34" s="429">
        <f>Calculos!I5</f>
        <v>45918</v>
      </c>
      <c r="E34" s="413"/>
      <c r="F34" s="1"/>
      <c r="G34" s="8"/>
      <c r="H34" s="10" t="s">
        <v>14</v>
      </c>
      <c r="I34" s="431">
        <f>AVERAGE(Calculos!J13,Calculos!F13)</f>
        <v>26.1</v>
      </c>
      <c r="J34" s="413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"/>
      <c r="B35" s="1"/>
      <c r="C35" s="8"/>
      <c r="D35" s="29"/>
      <c r="E35" s="30"/>
      <c r="F35" s="1"/>
      <c r="G35" s="8"/>
      <c r="H35" s="10"/>
      <c r="I35" s="28"/>
      <c r="J35" s="28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"/>
      <c r="B36" s="3"/>
      <c r="C36" s="10" t="s">
        <v>15</v>
      </c>
      <c r="D36" s="429">
        <f>Calculos!I6</f>
        <v>46283</v>
      </c>
      <c r="E36" s="413"/>
      <c r="F36" s="1"/>
      <c r="G36" s="8"/>
      <c r="H36" s="10" t="s">
        <v>16</v>
      </c>
      <c r="I36" s="432">
        <f>AVERAGE(Calculos!F14,Calculos!J14)</f>
        <v>46.5</v>
      </c>
      <c r="J36" s="413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"/>
      <c r="B37" s="1"/>
      <c r="C37" s="8"/>
      <c r="D37" s="29"/>
      <c r="E37" s="31"/>
      <c r="F37" s="1"/>
      <c r="G37" s="8"/>
      <c r="H37" s="10"/>
      <c r="I37" s="18"/>
      <c r="J37" s="18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1"/>
      <c r="C38" s="10" t="s">
        <v>17</v>
      </c>
      <c r="D38" s="429">
        <f>Calculos!I7</f>
        <v>45918</v>
      </c>
      <c r="E38" s="413"/>
      <c r="F38" s="1"/>
      <c r="G38" s="8"/>
      <c r="H38" s="10" t="s">
        <v>18</v>
      </c>
      <c r="I38" s="433" t="str">
        <f>Calculos!C14</f>
        <v>Instalaciones de Cliente</v>
      </c>
      <c r="J38" s="413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/>
      <c r="B39" s="1"/>
      <c r="C39" s="8"/>
      <c r="D39" s="8"/>
      <c r="E39" s="7"/>
      <c r="F39" s="1"/>
      <c r="G39" s="8"/>
      <c r="H39" s="7"/>
      <c r="I39" s="8"/>
      <c r="J39" s="8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"/>
      <c r="B40" s="1"/>
      <c r="C40" s="17" t="s">
        <v>19</v>
      </c>
      <c r="D40" s="430" t="s">
        <v>20</v>
      </c>
      <c r="E40" s="413"/>
      <c r="F40" s="1"/>
      <c r="G40" s="8"/>
      <c r="H40" s="17" t="s">
        <v>21</v>
      </c>
      <c r="I40" s="430" t="s">
        <v>22</v>
      </c>
      <c r="J40" s="413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56.25" customHeight="1">
      <c r="A42" s="1"/>
      <c r="B42" s="434" t="s">
        <v>23</v>
      </c>
      <c r="C42" s="420"/>
      <c r="D42" s="435" t="s">
        <v>24</v>
      </c>
      <c r="E42" s="420"/>
      <c r="F42" s="20"/>
      <c r="G42" s="32"/>
      <c r="H42" s="33"/>
      <c r="I42" s="34"/>
      <c r="J42" s="20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421" t="s">
        <v>25</v>
      </c>
      <c r="C43" s="422"/>
      <c r="D43" s="422"/>
      <c r="E43" s="422"/>
      <c r="F43" s="422"/>
      <c r="G43" s="422"/>
      <c r="H43" s="422"/>
      <c r="I43" s="422"/>
      <c r="J43" s="422"/>
      <c r="K43" s="1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436" t="s">
        <v>26</v>
      </c>
      <c r="C44" s="437"/>
      <c r="D44" s="436" t="s">
        <v>27</v>
      </c>
      <c r="E44" s="436" t="s">
        <v>28</v>
      </c>
      <c r="F44" s="436" t="s">
        <v>29</v>
      </c>
      <c r="G44" s="436" t="s">
        <v>30</v>
      </c>
      <c r="H44" s="436" t="s">
        <v>31</v>
      </c>
      <c r="I44" s="436" t="s">
        <v>32</v>
      </c>
      <c r="J44" s="437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42" customHeight="1">
      <c r="A45" s="1"/>
      <c r="B45" s="413"/>
      <c r="C45" s="413"/>
      <c r="D45" s="413"/>
      <c r="E45" s="413"/>
      <c r="F45" s="413"/>
      <c r="G45" s="413"/>
      <c r="H45" s="413"/>
      <c r="I45" s="413"/>
      <c r="J45" s="413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"/>
      <c r="B46" s="438" t="str">
        <f>IF(Calculos!$F$10&lt;=Patrones!$E$16,Calculos!M4,"")</f>
        <v>Manómetro Digital</v>
      </c>
      <c r="C46" s="439"/>
      <c r="D46" s="35" t="str">
        <f>IF($B$46="Manómetro Digital",Calculos!N4,"")</f>
        <v>AG-052</v>
      </c>
      <c r="E46" s="35" t="str">
        <f>IF($B$46="Manómetro Digital",Calculos!O4,"")</f>
        <v>1-23207</v>
      </c>
      <c r="F46" s="35" t="str">
        <f>IF($B$46="Manómetro Digital",Calculos!P4,"")</f>
        <v>Druck</v>
      </c>
      <c r="G46" s="35" t="str">
        <f>IF($B$46="Manómetro Digital",Calculos!Q4,"")</f>
        <v>DPI104</v>
      </c>
      <c r="H46" s="35">
        <f>IF($B$46="Manómetro Digital",Calculos!R4,"")</f>
        <v>5335895</v>
      </c>
      <c r="I46" s="440">
        <f>IF($B$46="Manómetro Digital",Calculos!S4,"")</f>
        <v>45989</v>
      </c>
      <c r="J46" s="439"/>
      <c r="K46" s="36">
        <f ca="1">TODAY()</f>
        <v>46070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"/>
      <c r="B47" s="441" t="str">
        <f>IF(Calculos!$F$10&gt;Patrones!$E$16,Calculos!$M$5,"")</f>
        <v/>
      </c>
      <c r="C47" s="442"/>
      <c r="D47" s="37" t="str">
        <f>IF(Calculos!$F$10&gt;Patrones!$E$16,Calculos!$N$5,"")</f>
        <v/>
      </c>
      <c r="E47" s="37" t="str">
        <f>IF(Calculos!$F$10&gt;Patrones!$E$16,Calculos!$O$5,"")</f>
        <v/>
      </c>
      <c r="F47" s="37" t="str">
        <f>IF(Calculos!$F$10&gt;Patrones!$E$16,Calculos!$P$5,"")</f>
        <v/>
      </c>
      <c r="G47" s="37" t="str">
        <f>IF(Calculos!$F$10&gt;Patrones!$E$16,Calculos!$Q$5,"")</f>
        <v/>
      </c>
      <c r="H47" s="37" t="str">
        <f>IF(Calculos!$F$10&gt;Patrones!$E$16,Calculos!$R$5,"")</f>
        <v/>
      </c>
      <c r="I47" s="440" t="str">
        <f>IF($B$47="Manómetro Digital",Calculos!S5,"")</f>
        <v/>
      </c>
      <c r="J47" s="439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430"/>
      <c r="C48" s="413"/>
      <c r="D48" s="28"/>
      <c r="E48" s="443" t="str">
        <f ca="1">IF(I46&lt;TODAY(),"Patrón Vencido","")</f>
        <v>Patrón Vencido</v>
      </c>
      <c r="F48" s="443"/>
      <c r="G48" s="443"/>
      <c r="H48" s="443"/>
      <c r="I48" s="28"/>
      <c r="J48" s="38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>
      <c r="A49" s="1"/>
      <c r="B49" s="445"/>
      <c r="C49" s="413"/>
      <c r="D49" s="39"/>
      <c r="E49" s="444"/>
      <c r="F49" s="444"/>
      <c r="G49" s="444"/>
      <c r="H49" s="444"/>
      <c r="I49" s="39"/>
      <c r="J49" s="40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hidden="1" customHeight="1">
      <c r="A50" s="1"/>
      <c r="B50" s="446"/>
      <c r="C50" s="413"/>
      <c r="D50" s="27"/>
      <c r="E50" s="444"/>
      <c r="F50" s="444"/>
      <c r="G50" s="444"/>
      <c r="H50" s="444"/>
      <c r="I50" s="42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43"/>
      <c r="C51" s="27"/>
      <c r="D51" s="27"/>
      <c r="E51" s="444"/>
      <c r="F51" s="444"/>
      <c r="G51" s="444"/>
      <c r="H51" s="444"/>
      <c r="I51" s="42"/>
      <c r="J51" s="42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447" t="str">
        <f>Calculos!M9</f>
        <v>Calibró</v>
      </c>
      <c r="B52" s="413"/>
      <c r="C52" s="413"/>
      <c r="D52" s="413"/>
      <c r="E52" s="413"/>
      <c r="F52" s="413"/>
      <c r="G52" s="447" t="str">
        <f>Calculos!O9</f>
        <v>Aprobó</v>
      </c>
      <c r="H52" s="413"/>
      <c r="I52" s="413"/>
      <c r="J52" s="413"/>
      <c r="K52" s="41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0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39"/>
      <c r="B54" s="44"/>
      <c r="C54" s="39"/>
      <c r="D54" s="39"/>
      <c r="E54" s="39"/>
      <c r="F54" s="39"/>
      <c r="G54" s="39"/>
      <c r="H54" s="39"/>
      <c r="I54" s="39"/>
      <c r="J54" s="39"/>
      <c r="K54" s="3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430">
        <f>Calculos!M8</f>
        <v>0</v>
      </c>
      <c r="B55" s="413"/>
      <c r="C55" s="413"/>
      <c r="D55" s="413"/>
      <c r="E55" s="413"/>
      <c r="F55" s="413"/>
      <c r="G55" s="430" t="str">
        <f>Calculos!O8</f>
        <v>Viridiana Moreno</v>
      </c>
      <c r="H55" s="413"/>
      <c r="I55" s="413"/>
      <c r="J55" s="413"/>
      <c r="K55" s="41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67.5" customHeight="1">
      <c r="A56" s="427" t="s">
        <v>33</v>
      </c>
      <c r="B56" s="413"/>
      <c r="C56" s="413"/>
      <c r="D56" s="413"/>
      <c r="E56" s="413"/>
      <c r="F56" s="413"/>
      <c r="G56" s="427" t="s">
        <v>34</v>
      </c>
      <c r="H56" s="413"/>
      <c r="I56" s="413"/>
      <c r="J56" s="413"/>
      <c r="K56" s="41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45"/>
      <c r="B57" s="448" t="s">
        <v>35</v>
      </c>
      <c r="C57" s="449"/>
      <c r="D57" s="449"/>
      <c r="E57" s="449"/>
      <c r="F57" s="449"/>
      <c r="G57" s="449"/>
      <c r="H57" s="449"/>
      <c r="I57" s="449"/>
      <c r="J57" s="449"/>
      <c r="K57" s="4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450" t="s">
        <v>36</v>
      </c>
      <c r="C58" s="413"/>
      <c r="D58" s="413"/>
      <c r="E58" s="413"/>
      <c r="F58" s="413"/>
      <c r="G58" s="413"/>
      <c r="H58" s="413"/>
      <c r="I58" s="413"/>
      <c r="J58" s="413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450" t="s">
        <v>37</v>
      </c>
      <c r="C59" s="413"/>
      <c r="D59" s="413"/>
      <c r="E59" s="413"/>
      <c r="F59" s="413"/>
      <c r="G59" s="413"/>
      <c r="H59" s="413"/>
      <c r="I59" s="413"/>
      <c r="J59" s="413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450" t="s">
        <v>38</v>
      </c>
      <c r="C60" s="413"/>
      <c r="D60" s="413"/>
      <c r="E60" s="413"/>
      <c r="F60" s="413"/>
      <c r="G60" s="413"/>
      <c r="H60" s="413"/>
      <c r="I60" s="413"/>
      <c r="J60" s="413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450" t="s">
        <v>39</v>
      </c>
      <c r="C61" s="413"/>
      <c r="D61" s="413"/>
      <c r="E61" s="413"/>
      <c r="F61" s="413"/>
      <c r="G61" s="413"/>
      <c r="H61" s="413"/>
      <c r="I61" s="413"/>
      <c r="J61" s="413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450" t="s">
        <v>40</v>
      </c>
      <c r="C62" s="413"/>
      <c r="D62" s="413"/>
      <c r="E62" s="413"/>
      <c r="F62" s="413"/>
      <c r="G62" s="413"/>
      <c r="H62" s="413"/>
      <c r="I62" s="413"/>
      <c r="J62" s="413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450" t="s">
        <v>41</v>
      </c>
      <c r="C63" s="413"/>
      <c r="D63" s="413"/>
      <c r="E63" s="413"/>
      <c r="F63" s="413"/>
      <c r="G63" s="413"/>
      <c r="H63" s="413"/>
      <c r="I63" s="413"/>
      <c r="J63" s="413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450" t="s">
        <v>42</v>
      </c>
      <c r="C64" s="413"/>
      <c r="D64" s="413"/>
      <c r="E64" s="413"/>
      <c r="F64" s="413"/>
      <c r="G64" s="413"/>
      <c r="H64" s="413"/>
      <c r="I64" s="413"/>
      <c r="J64" s="413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47"/>
      <c r="B65" s="451" t="s">
        <v>43</v>
      </c>
      <c r="C65" s="452"/>
      <c r="D65" s="452"/>
      <c r="E65" s="452"/>
      <c r="F65" s="452"/>
      <c r="G65" s="452"/>
      <c r="H65" s="452"/>
      <c r="I65" s="452"/>
      <c r="J65" s="452"/>
      <c r="K65" s="4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45"/>
      <c r="B66" s="453"/>
      <c r="C66" s="449"/>
      <c r="D66" s="449"/>
      <c r="E66" s="449"/>
      <c r="F66" s="449"/>
      <c r="G66" s="449"/>
      <c r="H66" s="449"/>
      <c r="I66" s="449"/>
      <c r="J66" s="449"/>
      <c r="K66" s="4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454"/>
      <c r="B67" s="413"/>
      <c r="C67" s="413"/>
      <c r="D67" s="413"/>
      <c r="E67" s="413"/>
      <c r="F67" s="413"/>
      <c r="G67" s="413"/>
      <c r="H67" s="413"/>
      <c r="I67" s="413"/>
      <c r="J67" s="413"/>
      <c r="K67" s="41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454"/>
      <c r="B68" s="413"/>
      <c r="C68" s="413"/>
      <c r="D68" s="413"/>
      <c r="E68" s="413"/>
      <c r="F68" s="413"/>
      <c r="G68" s="413"/>
      <c r="H68" s="413"/>
      <c r="I68" s="413"/>
      <c r="J68" s="413"/>
      <c r="K68" s="41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48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455" t="s">
        <v>44</v>
      </c>
      <c r="B70" s="449"/>
      <c r="C70" s="456" t="str">
        <f>Resultados!D76</f>
        <v>Este certificado no puede ser modificado en forma total o parcial sin la autorización previa de Equipos y Servicios Especializados AG, S.A. de C.V. y solo tiene válidez en su presentación original.</v>
      </c>
      <c r="D70" s="449"/>
      <c r="E70" s="449"/>
      <c r="F70" s="449"/>
      <c r="G70" s="449"/>
      <c r="H70" s="449"/>
      <c r="I70" s="449"/>
      <c r="J70" s="449"/>
      <c r="K70" s="44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413"/>
      <c r="B71" s="413"/>
      <c r="C71" s="413"/>
      <c r="D71" s="413"/>
      <c r="E71" s="413"/>
      <c r="F71" s="413"/>
      <c r="G71" s="413"/>
      <c r="H71" s="413"/>
      <c r="I71" s="413"/>
      <c r="J71" s="413"/>
      <c r="K71" s="413"/>
      <c r="L71" s="49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49" t="s">
        <v>45</v>
      </c>
      <c r="B72" s="49"/>
      <c r="C72" s="49"/>
      <c r="D72" s="49"/>
      <c r="E72" s="49"/>
      <c r="F72" s="50"/>
      <c r="G72" s="49"/>
      <c r="H72" s="49"/>
      <c r="I72" s="51"/>
      <c r="J72" s="49"/>
      <c r="K72" s="49"/>
      <c r="L72" s="49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49"/>
      <c r="B73" s="49"/>
      <c r="C73" s="49"/>
      <c r="D73" s="49"/>
      <c r="E73" s="49"/>
      <c r="F73" s="50"/>
      <c r="G73" s="52"/>
      <c r="H73" s="49"/>
      <c r="I73" s="49"/>
      <c r="J73" s="49"/>
      <c r="K73" s="49"/>
      <c r="L73" s="49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53"/>
      <c r="B74" s="54"/>
      <c r="C74" s="49"/>
      <c r="D74" s="49"/>
      <c r="E74" s="49"/>
      <c r="F74" s="49"/>
      <c r="G74" s="52"/>
      <c r="H74" s="49"/>
      <c r="I74" s="49"/>
      <c r="J74" s="49"/>
      <c r="K74" s="49"/>
      <c r="L74" s="49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53"/>
      <c r="B75" s="54"/>
      <c r="C75" s="49"/>
      <c r="D75" s="49"/>
      <c r="E75" s="49"/>
      <c r="F75" s="50"/>
      <c r="G75" s="52"/>
      <c r="H75" s="49"/>
      <c r="I75" s="49"/>
      <c r="J75" s="49"/>
      <c r="K75" s="49"/>
      <c r="L75" s="49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49"/>
      <c r="B76" s="49"/>
      <c r="C76" s="49"/>
      <c r="D76" s="49"/>
      <c r="E76" s="49"/>
      <c r="F76" s="50"/>
      <c r="G76" s="52"/>
      <c r="H76" s="49"/>
      <c r="I76" s="49"/>
      <c r="J76" s="49"/>
      <c r="K76" s="49"/>
      <c r="L76" s="49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55"/>
      <c r="B77" s="55"/>
      <c r="C77" s="56"/>
      <c r="D77" s="55"/>
      <c r="E77" s="49"/>
      <c r="F77" s="57"/>
      <c r="G77" s="58"/>
      <c r="H77" s="49"/>
      <c r="I77" s="49"/>
      <c r="J77" s="49"/>
      <c r="K77" s="49"/>
      <c r="L77" s="49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54"/>
      <c r="B78" s="457"/>
      <c r="C78" s="417"/>
      <c r="D78" s="54"/>
      <c r="E78" s="59"/>
      <c r="F78" s="58"/>
      <c r="G78" s="58"/>
      <c r="H78" s="49"/>
      <c r="I78" s="49"/>
      <c r="J78" s="49"/>
      <c r="K78" s="49"/>
      <c r="L78" s="49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50"/>
      <c r="B80" s="50"/>
      <c r="C80" s="50"/>
      <c r="D80" s="50"/>
      <c r="E80" s="50"/>
      <c r="F80" s="50"/>
      <c r="G80" s="51"/>
      <c r="H80" s="49"/>
      <c r="I80" s="51"/>
      <c r="J80" s="60"/>
      <c r="K80" s="49"/>
      <c r="L80" s="49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458"/>
      <c r="B81" s="417"/>
      <c r="C81" s="417"/>
      <c r="D81" s="417"/>
      <c r="E81" s="417"/>
      <c r="F81" s="417"/>
      <c r="G81" s="417"/>
      <c r="H81" s="417"/>
      <c r="I81" s="417"/>
      <c r="J81" s="417"/>
      <c r="K81" s="417"/>
      <c r="L81" s="49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49"/>
      <c r="B82" s="49"/>
      <c r="C82" s="58"/>
      <c r="D82" s="61"/>
      <c r="E82" s="49"/>
      <c r="F82" s="49"/>
      <c r="G82" s="49"/>
      <c r="H82" s="49"/>
      <c r="I82" s="49"/>
      <c r="J82" s="49"/>
      <c r="K82" s="49"/>
      <c r="L82" s="49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49"/>
      <c r="B83" s="49"/>
      <c r="C83" s="459"/>
      <c r="D83" s="417"/>
      <c r="E83" s="62"/>
      <c r="F83" s="460"/>
      <c r="G83" s="417"/>
      <c r="H83" s="417"/>
      <c r="I83" s="49"/>
      <c r="J83" s="49"/>
      <c r="K83" s="49"/>
      <c r="L83" s="49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49"/>
      <c r="B84" s="49"/>
      <c r="C84" s="58"/>
      <c r="D84" s="61"/>
      <c r="E84" s="62"/>
      <c r="F84" s="58"/>
      <c r="G84" s="58"/>
      <c r="H84" s="49"/>
      <c r="I84" s="49"/>
      <c r="J84" s="49"/>
      <c r="K84" s="49"/>
      <c r="L84" s="49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49"/>
      <c r="B85" s="49"/>
      <c r="C85" s="459"/>
      <c r="D85" s="417"/>
      <c r="E85" s="62"/>
      <c r="F85" s="460"/>
      <c r="G85" s="417"/>
      <c r="H85" s="417"/>
      <c r="I85" s="49"/>
      <c r="J85" s="49"/>
      <c r="K85" s="49"/>
      <c r="L85" s="49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49"/>
      <c r="B86" s="49"/>
      <c r="C86" s="49"/>
      <c r="D86" s="61"/>
      <c r="E86" s="62"/>
      <c r="F86" s="64"/>
      <c r="G86" s="64"/>
      <c r="H86" s="63"/>
      <c r="I86" s="49"/>
      <c r="J86" s="49"/>
      <c r="K86" s="49"/>
      <c r="L86" s="49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49"/>
      <c r="B87" s="49"/>
      <c r="C87" s="459"/>
      <c r="D87" s="417"/>
      <c r="E87" s="49"/>
      <c r="F87" s="62"/>
      <c r="G87" s="459"/>
      <c r="H87" s="417"/>
      <c r="I87" s="49"/>
      <c r="J87" s="49"/>
      <c r="K87" s="49"/>
      <c r="L87" s="49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49"/>
      <c r="B88" s="49"/>
      <c r="C88" s="58"/>
      <c r="D88" s="49"/>
      <c r="E88" s="49"/>
      <c r="F88" s="49"/>
      <c r="G88" s="49"/>
      <c r="H88" s="49"/>
      <c r="I88" s="49"/>
      <c r="J88" s="49"/>
      <c r="K88" s="49"/>
      <c r="L88" s="49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461"/>
      <c r="B89" s="417"/>
      <c r="C89" s="417"/>
      <c r="D89" s="417"/>
      <c r="E89" s="417"/>
      <c r="F89" s="417"/>
      <c r="G89" s="417"/>
      <c r="H89" s="417"/>
      <c r="I89" s="49"/>
      <c r="J89" s="49"/>
      <c r="K89" s="49"/>
      <c r="L89" s="49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45" customHeight="1">
      <c r="A90" s="65"/>
      <c r="B90" s="462"/>
      <c r="C90" s="417"/>
      <c r="D90" s="66"/>
      <c r="E90" s="66"/>
      <c r="F90" s="462"/>
      <c r="G90" s="417"/>
      <c r="H90" s="66"/>
      <c r="I90" s="66"/>
      <c r="J90" s="463"/>
      <c r="K90" s="417"/>
      <c r="L90" s="49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67"/>
      <c r="B91" s="462"/>
      <c r="C91" s="417"/>
      <c r="D91" s="68"/>
      <c r="E91" s="68"/>
      <c r="F91" s="464"/>
      <c r="G91" s="417"/>
      <c r="H91" s="68"/>
      <c r="I91" s="69"/>
      <c r="J91" s="465"/>
      <c r="K91" s="417"/>
      <c r="L91" s="49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460"/>
      <c r="B92" s="417"/>
      <c r="C92" s="417"/>
      <c r="D92" s="70"/>
      <c r="E92" s="71"/>
      <c r="F92" s="466"/>
      <c r="G92" s="417"/>
      <c r="H92" s="72"/>
      <c r="I92" s="73"/>
      <c r="J92" s="467"/>
      <c r="K92" s="417"/>
      <c r="L92" s="49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63"/>
      <c r="B93" s="468"/>
      <c r="C93" s="417"/>
      <c r="D93" s="70"/>
      <c r="E93" s="71"/>
      <c r="F93" s="72"/>
      <c r="G93" s="49"/>
      <c r="H93" s="72"/>
      <c r="I93" s="76"/>
      <c r="J93" s="74"/>
      <c r="K93" s="77"/>
      <c r="L93" s="49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460"/>
      <c r="B94" s="417"/>
      <c r="C94" s="417"/>
      <c r="D94" s="70"/>
      <c r="E94" s="71"/>
      <c r="F94" s="466"/>
      <c r="G94" s="417"/>
      <c r="H94" s="72"/>
      <c r="I94" s="73"/>
      <c r="J94" s="467"/>
      <c r="K94" s="417"/>
      <c r="L94" s="49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63"/>
      <c r="B95" s="468"/>
      <c r="C95" s="417"/>
      <c r="D95" s="70"/>
      <c r="E95" s="71"/>
      <c r="F95" s="72"/>
      <c r="G95" s="49"/>
      <c r="H95" s="72"/>
      <c r="I95" s="76"/>
      <c r="J95" s="74"/>
      <c r="K95" s="77"/>
      <c r="L95" s="49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460"/>
      <c r="B96" s="417"/>
      <c r="C96" s="417"/>
      <c r="D96" s="70"/>
      <c r="E96" s="71"/>
      <c r="F96" s="466"/>
      <c r="G96" s="417"/>
      <c r="H96" s="73"/>
      <c r="I96" s="73"/>
      <c r="J96" s="467"/>
      <c r="K96" s="417"/>
      <c r="L96" s="49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63"/>
      <c r="B97" s="468"/>
      <c r="C97" s="417"/>
      <c r="D97" s="70"/>
      <c r="E97" s="71"/>
      <c r="F97" s="72"/>
      <c r="G97" s="49"/>
      <c r="H97" s="73"/>
      <c r="I97" s="76"/>
      <c r="J97" s="74"/>
      <c r="K97" s="77"/>
      <c r="L97" s="49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460"/>
      <c r="B98" s="417"/>
      <c r="C98" s="417"/>
      <c r="D98" s="70"/>
      <c r="E98" s="71"/>
      <c r="F98" s="466"/>
      <c r="G98" s="417"/>
      <c r="H98" s="73"/>
      <c r="I98" s="73"/>
      <c r="J98" s="467"/>
      <c r="K98" s="417"/>
      <c r="L98" s="49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63"/>
      <c r="B99" s="468"/>
      <c r="C99" s="417"/>
      <c r="D99" s="70"/>
      <c r="E99" s="71"/>
      <c r="F99" s="72"/>
      <c r="G99" s="49"/>
      <c r="H99" s="73"/>
      <c r="I99" s="76"/>
      <c r="J99" s="74"/>
      <c r="K99" s="77"/>
      <c r="L99" s="49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460"/>
      <c r="B100" s="417"/>
      <c r="C100" s="417"/>
      <c r="D100" s="70"/>
      <c r="E100" s="71"/>
      <c r="F100" s="466"/>
      <c r="G100" s="417"/>
      <c r="H100" s="73"/>
      <c r="I100" s="73"/>
      <c r="J100" s="467"/>
      <c r="K100" s="417"/>
      <c r="L100" s="49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63"/>
      <c r="B101" s="468"/>
      <c r="C101" s="417"/>
      <c r="D101" s="78"/>
      <c r="E101" s="75"/>
      <c r="F101" s="79"/>
      <c r="G101" s="80"/>
      <c r="H101" s="81"/>
      <c r="I101" s="76"/>
      <c r="J101" s="82"/>
      <c r="K101" s="83"/>
      <c r="L101" s="49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460"/>
      <c r="B102" s="417"/>
      <c r="C102" s="417"/>
      <c r="D102" s="70"/>
      <c r="E102" s="71"/>
      <c r="F102" s="466"/>
      <c r="G102" s="417"/>
      <c r="H102" s="73"/>
      <c r="I102" s="73"/>
      <c r="J102" s="467"/>
      <c r="K102" s="417"/>
      <c r="L102" s="49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63"/>
      <c r="B103" s="468"/>
      <c r="C103" s="417"/>
      <c r="D103" s="70"/>
      <c r="E103" s="71"/>
      <c r="F103" s="72"/>
      <c r="G103" s="49"/>
      <c r="H103" s="73"/>
      <c r="I103" s="76"/>
      <c r="J103" s="74"/>
      <c r="K103" s="77"/>
      <c r="L103" s="49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460"/>
      <c r="B104" s="417"/>
      <c r="C104" s="417"/>
      <c r="D104" s="70"/>
      <c r="E104" s="71"/>
      <c r="F104" s="466"/>
      <c r="G104" s="417"/>
      <c r="H104" s="73"/>
      <c r="I104" s="73"/>
      <c r="J104" s="467"/>
      <c r="K104" s="417"/>
      <c r="L104" s="49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63"/>
      <c r="B105" s="468"/>
      <c r="C105" s="417"/>
      <c r="D105" s="70"/>
      <c r="E105" s="71"/>
      <c r="F105" s="72"/>
      <c r="G105" s="49"/>
      <c r="H105" s="73"/>
      <c r="I105" s="76"/>
      <c r="J105" s="74"/>
      <c r="K105" s="77"/>
      <c r="L105" s="49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460"/>
      <c r="B106" s="417"/>
      <c r="C106" s="417"/>
      <c r="D106" s="70"/>
      <c r="E106" s="71"/>
      <c r="F106" s="466"/>
      <c r="G106" s="417"/>
      <c r="H106" s="73"/>
      <c r="I106" s="73"/>
      <c r="J106" s="467"/>
      <c r="K106" s="417"/>
      <c r="L106" s="49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63"/>
      <c r="B107" s="468"/>
      <c r="C107" s="417"/>
      <c r="D107" s="70"/>
      <c r="E107" s="71"/>
      <c r="F107" s="72"/>
      <c r="G107" s="49"/>
      <c r="H107" s="73"/>
      <c r="I107" s="76"/>
      <c r="J107" s="74"/>
      <c r="K107" s="77"/>
      <c r="L107" s="49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63"/>
      <c r="B108" s="468"/>
      <c r="C108" s="417"/>
      <c r="D108" s="70"/>
      <c r="E108" s="71"/>
      <c r="F108" s="466"/>
      <c r="G108" s="417"/>
      <c r="H108" s="73"/>
      <c r="I108" s="73"/>
      <c r="J108" s="74"/>
      <c r="K108" s="77"/>
      <c r="L108" s="49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63"/>
      <c r="B109" s="468"/>
      <c r="C109" s="417"/>
      <c r="D109" s="70"/>
      <c r="E109" s="71"/>
      <c r="F109" s="72"/>
      <c r="G109" s="49"/>
      <c r="H109" s="73"/>
      <c r="I109" s="76"/>
      <c r="J109" s="74"/>
      <c r="K109" s="77"/>
      <c r="L109" s="49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63"/>
      <c r="B110" s="468"/>
      <c r="C110" s="417"/>
      <c r="D110" s="70"/>
      <c r="E110" s="71"/>
      <c r="F110" s="466"/>
      <c r="G110" s="417"/>
      <c r="H110" s="73"/>
      <c r="I110" s="73"/>
      <c r="J110" s="74"/>
      <c r="K110" s="77"/>
      <c r="L110" s="49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84"/>
      <c r="B111" s="469"/>
      <c r="C111" s="417"/>
      <c r="D111" s="71"/>
      <c r="E111" s="71"/>
      <c r="F111" s="71"/>
      <c r="G111" s="85"/>
      <c r="H111" s="86"/>
      <c r="I111" s="76"/>
      <c r="J111" s="82"/>
      <c r="K111" s="83"/>
      <c r="L111" s="49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63"/>
      <c r="B112" s="468"/>
      <c r="C112" s="417"/>
      <c r="D112" s="70"/>
      <c r="E112" s="71"/>
      <c r="F112" s="466"/>
      <c r="G112" s="417"/>
      <c r="H112" s="73"/>
      <c r="I112" s="73"/>
      <c r="J112" s="74"/>
      <c r="K112" s="77"/>
      <c r="L112" s="49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87"/>
      <c r="B113" s="470"/>
      <c r="C113" s="413"/>
      <c r="D113" s="88"/>
      <c r="E113" s="89"/>
      <c r="F113" s="90"/>
      <c r="G113" s="2"/>
      <c r="H113" s="91"/>
      <c r="I113" s="92"/>
      <c r="J113" s="93"/>
      <c r="K113" s="94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87"/>
      <c r="B114" s="470"/>
      <c r="C114" s="413"/>
      <c r="D114" s="88"/>
      <c r="E114" s="89"/>
      <c r="F114" s="471"/>
      <c r="G114" s="413"/>
      <c r="H114" s="91"/>
      <c r="I114" s="91"/>
      <c r="J114" s="93"/>
      <c r="K114" s="94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87"/>
      <c r="B115" s="470"/>
      <c r="C115" s="413"/>
      <c r="D115" s="88"/>
      <c r="E115" s="89"/>
      <c r="F115" s="90"/>
      <c r="G115" s="2"/>
      <c r="H115" s="91"/>
      <c r="I115" s="92"/>
      <c r="J115" s="93"/>
      <c r="K115" s="94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87"/>
      <c r="B116" s="470"/>
      <c r="C116" s="413"/>
      <c r="D116" s="88"/>
      <c r="E116" s="89"/>
      <c r="F116" s="471"/>
      <c r="G116" s="413"/>
      <c r="H116" s="91"/>
      <c r="I116" s="91"/>
      <c r="J116" s="93"/>
      <c r="K116" s="94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87"/>
      <c r="B117" s="470"/>
      <c r="C117" s="413"/>
      <c r="D117" s="88"/>
      <c r="E117" s="89"/>
      <c r="F117" s="90"/>
      <c r="G117" s="2"/>
      <c r="H117" s="91"/>
      <c r="I117" s="92"/>
      <c r="J117" s="93"/>
      <c r="K117" s="94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87"/>
      <c r="B118" s="470"/>
      <c r="C118" s="413"/>
      <c r="D118" s="88"/>
      <c r="E118" s="89"/>
      <c r="F118" s="471"/>
      <c r="G118" s="413"/>
      <c r="H118" s="91"/>
      <c r="I118" s="91"/>
      <c r="J118" s="93"/>
      <c r="K118" s="94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87"/>
      <c r="B119" s="470"/>
      <c r="C119" s="413"/>
      <c r="D119" s="88"/>
      <c r="E119" s="89"/>
      <c r="F119" s="90"/>
      <c r="G119" s="2"/>
      <c r="H119" s="91"/>
      <c r="I119" s="92"/>
      <c r="J119" s="93"/>
      <c r="K119" s="94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87"/>
      <c r="B120" s="470"/>
      <c r="C120" s="413"/>
      <c r="D120" s="88"/>
      <c r="E120" s="89"/>
      <c r="F120" s="471"/>
      <c r="G120" s="413"/>
      <c r="H120" s="91"/>
      <c r="I120" s="91"/>
      <c r="J120" s="93"/>
      <c r="K120" s="94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87"/>
      <c r="B121" s="472"/>
      <c r="C121" s="413"/>
      <c r="D121" s="96"/>
      <c r="E121" s="95"/>
      <c r="F121" s="95"/>
      <c r="G121" s="97"/>
      <c r="H121" s="98"/>
      <c r="I121" s="92"/>
      <c r="J121" s="99"/>
      <c r="K121" s="100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87"/>
      <c r="B122" s="470"/>
      <c r="C122" s="413"/>
      <c r="D122" s="88"/>
      <c r="E122" s="89"/>
      <c r="F122" s="471"/>
      <c r="G122" s="413"/>
      <c r="H122" s="91"/>
      <c r="I122" s="91"/>
      <c r="J122" s="93"/>
      <c r="K122" s="94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87"/>
      <c r="B123" s="470"/>
      <c r="C123" s="413"/>
      <c r="D123" s="88"/>
      <c r="E123" s="89"/>
      <c r="F123" s="90"/>
      <c r="G123" s="2"/>
      <c r="H123" s="91"/>
      <c r="I123" s="92"/>
      <c r="J123" s="93"/>
      <c r="K123" s="94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87"/>
      <c r="B124" s="470"/>
      <c r="C124" s="413"/>
      <c r="D124" s="88"/>
      <c r="E124" s="89"/>
      <c r="F124" s="471"/>
      <c r="G124" s="413"/>
      <c r="H124" s="91"/>
      <c r="I124" s="91"/>
      <c r="J124" s="93"/>
      <c r="K124" s="94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87"/>
      <c r="B125" s="470"/>
      <c r="C125" s="413"/>
      <c r="D125" s="88"/>
      <c r="E125" s="89"/>
      <c r="F125" s="90"/>
      <c r="G125" s="2"/>
      <c r="H125" s="91"/>
      <c r="I125" s="92"/>
      <c r="J125" s="93"/>
      <c r="K125" s="94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87"/>
      <c r="B126" s="470"/>
      <c r="C126" s="413"/>
      <c r="D126" s="88"/>
      <c r="E126" s="89"/>
      <c r="F126" s="471"/>
      <c r="G126" s="413"/>
      <c r="H126" s="91"/>
      <c r="I126" s="91"/>
      <c r="J126" s="93"/>
      <c r="K126" s="94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87"/>
      <c r="B127" s="470"/>
      <c r="C127" s="413"/>
      <c r="D127" s="88"/>
      <c r="E127" s="89"/>
      <c r="F127" s="90"/>
      <c r="G127" s="2"/>
      <c r="H127" s="91"/>
      <c r="I127" s="92"/>
      <c r="J127" s="93"/>
      <c r="K127" s="94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87"/>
      <c r="B128" s="470"/>
      <c r="C128" s="413"/>
      <c r="D128" s="88"/>
      <c r="E128" s="89"/>
      <c r="F128" s="471"/>
      <c r="G128" s="413"/>
      <c r="H128" s="91"/>
      <c r="I128" s="91"/>
      <c r="J128" s="93"/>
      <c r="K128" s="94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87"/>
      <c r="B129" s="470"/>
      <c r="C129" s="413"/>
      <c r="D129" s="88"/>
      <c r="E129" s="89"/>
      <c r="F129" s="90"/>
      <c r="G129" s="2"/>
      <c r="H129" s="91"/>
      <c r="I129" s="92"/>
      <c r="J129" s="93"/>
      <c r="K129" s="94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87"/>
      <c r="B130" s="470"/>
      <c r="C130" s="413"/>
      <c r="D130" s="88"/>
      <c r="E130" s="89"/>
      <c r="F130" s="471"/>
      <c r="G130" s="413"/>
      <c r="H130" s="91"/>
      <c r="I130" s="91"/>
      <c r="J130" s="93"/>
      <c r="K130" s="94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101"/>
      <c r="C131" s="101"/>
      <c r="D131" s="101"/>
      <c r="E131" s="101"/>
      <c r="F131" s="101"/>
      <c r="G131" s="101"/>
      <c r="H131" s="10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102"/>
      <c r="C132" s="102"/>
      <c r="D132" s="102"/>
      <c r="E132" s="102"/>
      <c r="F132" s="102"/>
      <c r="G132" s="102"/>
      <c r="H132" s="10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5"/>
      <c r="B133" s="5"/>
      <c r="C133" s="103"/>
      <c r="D133" s="2"/>
      <c r="E133" s="104"/>
      <c r="F133" s="2"/>
      <c r="G133" s="105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5"/>
      <c r="B134" s="5"/>
      <c r="C134" s="5"/>
      <c r="D134" s="106"/>
      <c r="E134" s="5"/>
      <c r="F134" s="5"/>
      <c r="G134" s="5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1"/>
      <c r="B135" s="473"/>
      <c r="C135" s="417"/>
      <c r="D135" s="417"/>
      <c r="E135" s="104"/>
      <c r="F135" s="416"/>
      <c r="G135" s="417"/>
      <c r="H135" s="41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5"/>
      <c r="B136" s="107"/>
      <c r="C136" s="108"/>
      <c r="D136" s="5"/>
      <c r="E136" s="5"/>
      <c r="F136" s="5"/>
      <c r="G136" s="109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474"/>
      <c r="B137" s="417"/>
      <c r="C137" s="417"/>
      <c r="D137" s="417"/>
      <c r="E137" s="417"/>
      <c r="F137" s="417"/>
      <c r="G137" s="417"/>
      <c r="H137" s="41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5"/>
      <c r="B139" s="4"/>
      <c r="C139" s="418"/>
      <c r="D139" s="417"/>
      <c r="E139" s="5"/>
      <c r="F139" s="4"/>
      <c r="G139" s="418"/>
      <c r="H139" s="41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5"/>
      <c r="B140" s="5"/>
      <c r="C140" s="5"/>
      <c r="D140" s="110"/>
      <c r="E140" s="5"/>
      <c r="F140" s="111"/>
      <c r="G140" s="5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5"/>
      <c r="B142" s="2"/>
      <c r="C142" s="2"/>
      <c r="D142" s="2"/>
      <c r="E142" s="2"/>
      <c r="F142" s="2"/>
      <c r="G142" s="2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12"/>
      <c r="B144" s="2"/>
      <c r="C144" s="2"/>
      <c r="D144" s="113"/>
      <c r="E144" s="114"/>
      <c r="F144" s="113"/>
      <c r="G144" s="113"/>
      <c r="H144" s="11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66">
    <mergeCell ref="A137:H137"/>
    <mergeCell ref="C139:D139"/>
    <mergeCell ref="G139:H139"/>
    <mergeCell ref="B126:C126"/>
    <mergeCell ref="F126:G126"/>
    <mergeCell ref="B127:C127"/>
    <mergeCell ref="B128:C128"/>
    <mergeCell ref="F128:G128"/>
    <mergeCell ref="B129:C129"/>
    <mergeCell ref="B130:C130"/>
    <mergeCell ref="F130:G130"/>
    <mergeCell ref="B135:D135"/>
    <mergeCell ref="F135:H135"/>
    <mergeCell ref="B120:C120"/>
    <mergeCell ref="F120:G120"/>
    <mergeCell ref="B121:C121"/>
    <mergeCell ref="B122:C122"/>
    <mergeCell ref="F122:G122"/>
    <mergeCell ref="B123:C123"/>
    <mergeCell ref="B124:C124"/>
    <mergeCell ref="F124:G124"/>
    <mergeCell ref="B125:C125"/>
    <mergeCell ref="B114:C114"/>
    <mergeCell ref="F114:G114"/>
    <mergeCell ref="B115:C115"/>
    <mergeCell ref="B116:C116"/>
    <mergeCell ref="F116:G116"/>
    <mergeCell ref="B117:C117"/>
    <mergeCell ref="B118:C118"/>
    <mergeCell ref="F118:G118"/>
    <mergeCell ref="B119:C119"/>
    <mergeCell ref="B108:C108"/>
    <mergeCell ref="F108:G108"/>
    <mergeCell ref="B109:C109"/>
    <mergeCell ref="B110:C110"/>
    <mergeCell ref="F110:G110"/>
    <mergeCell ref="B111:C111"/>
    <mergeCell ref="B112:C112"/>
    <mergeCell ref="F112:G112"/>
    <mergeCell ref="B113:C113"/>
    <mergeCell ref="B103:C103"/>
    <mergeCell ref="A104:C104"/>
    <mergeCell ref="F104:G104"/>
    <mergeCell ref="J104:K104"/>
    <mergeCell ref="B105:C105"/>
    <mergeCell ref="A106:C106"/>
    <mergeCell ref="F106:G106"/>
    <mergeCell ref="J106:K106"/>
    <mergeCell ref="B107:C107"/>
    <mergeCell ref="A98:C98"/>
    <mergeCell ref="F98:G98"/>
    <mergeCell ref="J98:K98"/>
    <mergeCell ref="B99:C99"/>
    <mergeCell ref="A100:C100"/>
    <mergeCell ref="F100:G100"/>
    <mergeCell ref="J100:K100"/>
    <mergeCell ref="B101:C101"/>
    <mergeCell ref="A102:C102"/>
    <mergeCell ref="F102:G102"/>
    <mergeCell ref="J102:K102"/>
    <mergeCell ref="B93:C93"/>
    <mergeCell ref="A94:C94"/>
    <mergeCell ref="F94:G94"/>
    <mergeCell ref="J94:K94"/>
    <mergeCell ref="B95:C95"/>
    <mergeCell ref="A96:C96"/>
    <mergeCell ref="F96:G96"/>
    <mergeCell ref="J96:K96"/>
    <mergeCell ref="B97:C97"/>
    <mergeCell ref="B90:C90"/>
    <mergeCell ref="F90:G90"/>
    <mergeCell ref="J90:K90"/>
    <mergeCell ref="B91:C91"/>
    <mergeCell ref="F91:G91"/>
    <mergeCell ref="J91:K91"/>
    <mergeCell ref="A92:C92"/>
    <mergeCell ref="F92:G92"/>
    <mergeCell ref="J92:K92"/>
    <mergeCell ref="B78:C78"/>
    <mergeCell ref="A81:K81"/>
    <mergeCell ref="C83:D83"/>
    <mergeCell ref="F83:H83"/>
    <mergeCell ref="C85:D85"/>
    <mergeCell ref="F85:H85"/>
    <mergeCell ref="C87:D87"/>
    <mergeCell ref="G87:H87"/>
    <mergeCell ref="A89:H89"/>
    <mergeCell ref="B62:J62"/>
    <mergeCell ref="B63:J63"/>
    <mergeCell ref="B64:J64"/>
    <mergeCell ref="B65:J65"/>
    <mergeCell ref="B66:J66"/>
    <mergeCell ref="A67:K67"/>
    <mergeCell ref="A68:K68"/>
    <mergeCell ref="A70:B71"/>
    <mergeCell ref="C70:K71"/>
    <mergeCell ref="A55:F55"/>
    <mergeCell ref="G55:K55"/>
    <mergeCell ref="A56:F56"/>
    <mergeCell ref="G56:K56"/>
    <mergeCell ref="B57:J57"/>
    <mergeCell ref="B58:J58"/>
    <mergeCell ref="B59:J59"/>
    <mergeCell ref="B60:J60"/>
    <mergeCell ref="B61:J61"/>
    <mergeCell ref="B46:C46"/>
    <mergeCell ref="I46:J46"/>
    <mergeCell ref="B47:C47"/>
    <mergeCell ref="I47:J47"/>
    <mergeCell ref="B48:C48"/>
    <mergeCell ref="E48:H51"/>
    <mergeCell ref="B49:C49"/>
    <mergeCell ref="B50:C50"/>
    <mergeCell ref="A52:F52"/>
    <mergeCell ref="G52:K52"/>
    <mergeCell ref="D40:E40"/>
    <mergeCell ref="I40:J40"/>
    <mergeCell ref="B42:C42"/>
    <mergeCell ref="D42:E42"/>
    <mergeCell ref="B43:J43"/>
    <mergeCell ref="B44:C45"/>
    <mergeCell ref="I44:J45"/>
    <mergeCell ref="D44:D45"/>
    <mergeCell ref="E44:E45"/>
    <mergeCell ref="F44:F45"/>
    <mergeCell ref="G44:G45"/>
    <mergeCell ref="H44:H45"/>
    <mergeCell ref="B30:J30"/>
    <mergeCell ref="D32:E32"/>
    <mergeCell ref="I32:J32"/>
    <mergeCell ref="I33:J33"/>
    <mergeCell ref="D34:E34"/>
    <mergeCell ref="I34:J34"/>
    <mergeCell ref="D36:E36"/>
    <mergeCell ref="I36:J36"/>
    <mergeCell ref="D38:E38"/>
    <mergeCell ref="I38:J38"/>
    <mergeCell ref="B18:J18"/>
    <mergeCell ref="D20:E21"/>
    <mergeCell ref="I20:J21"/>
    <mergeCell ref="D22:E23"/>
    <mergeCell ref="D24:E25"/>
    <mergeCell ref="I24:J24"/>
    <mergeCell ref="D26:E27"/>
    <mergeCell ref="I26:J27"/>
    <mergeCell ref="I28:J28"/>
    <mergeCell ref="N12:O12"/>
    <mergeCell ref="R12:S12"/>
    <mergeCell ref="C13:J13"/>
    <mergeCell ref="N13:O13"/>
    <mergeCell ref="R13:S13"/>
    <mergeCell ref="C14:J14"/>
    <mergeCell ref="N14:O14"/>
    <mergeCell ref="I15:J16"/>
    <mergeCell ref="N15:O15"/>
    <mergeCell ref="C15:C16"/>
    <mergeCell ref="N16:O16"/>
    <mergeCell ref="M1:V8"/>
    <mergeCell ref="D7:H8"/>
    <mergeCell ref="I9:J9"/>
    <mergeCell ref="N9:O9"/>
    <mergeCell ref="R9:S9"/>
    <mergeCell ref="G10:H10"/>
    <mergeCell ref="B11:J11"/>
    <mergeCell ref="N11:O11"/>
    <mergeCell ref="R11:S11"/>
  </mergeCells>
  <conditionalFormatting sqref="I46:J46">
    <cfRule type="cellIs" dxfId="9" priority="1" operator="greaterThan">
      <formula>$K$46</formula>
    </cfRule>
  </conditionalFormatting>
  <pageMargins left="0.25" right="0.25" top="0.75" bottom="0.75" header="0" footer="0"/>
  <pageSetup scale="10" orientation="portrait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view="pageBreakPreview" zoomScaleNormal="100" workbookViewId="0">
      <selection activeCell="L34" sqref="L34"/>
    </sheetView>
  </sheetViews>
  <sheetFormatPr baseColWidth="10" defaultColWidth="14.44140625" defaultRowHeight="14.4"/>
  <cols>
    <col min="1" max="1" width="10.44140625" customWidth="1"/>
    <col min="2" max="2" width="8.33203125" customWidth="1"/>
    <col min="4" max="4" width="15.33203125" customWidth="1"/>
    <col min="5" max="5" width="18.5546875" customWidth="1"/>
    <col min="6" max="6" width="18.88671875" customWidth="1"/>
    <col min="7" max="7" width="23.109375" customWidth="1"/>
    <col min="8" max="8" width="14.109375" customWidth="1"/>
    <col min="9" max="9" width="18.6640625" customWidth="1"/>
    <col min="10" max="10" width="11.6640625" customWidth="1"/>
    <col min="11" max="11" width="13" customWidth="1"/>
    <col min="12" max="18" width="11.44140625" customWidth="1"/>
    <col min="19" max="26" width="10.6640625" customWidth="1"/>
  </cols>
  <sheetData>
    <row r="1" spans="1:26" ht="14.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customHeight="1">
      <c r="A2" s="1"/>
      <c r="B2" s="1"/>
      <c r="C2" s="1"/>
      <c r="D2" s="1"/>
      <c r="E2" s="1"/>
      <c r="F2" s="115"/>
      <c r="G2" s="1"/>
      <c r="H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customHeight="1">
      <c r="A3" s="1"/>
      <c r="B3" s="1"/>
      <c r="C3" s="1"/>
      <c r="D3" s="1"/>
      <c r="E3" s="1"/>
      <c r="F3" s="115"/>
      <c r="G3" s="116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.75" customHeight="1">
      <c r="A4" s="117"/>
      <c r="B4" s="118"/>
      <c r="C4" s="1"/>
      <c r="D4" s="1"/>
      <c r="E4" s="1"/>
      <c r="F4" s="1"/>
      <c r="G4" s="116"/>
      <c r="H4" s="1"/>
      <c r="I4" s="1"/>
      <c r="J4" s="1"/>
      <c r="K4" s="1"/>
      <c r="L4" s="2"/>
      <c r="M4" s="475" t="s">
        <v>46</v>
      </c>
      <c r="N4" s="413"/>
      <c r="O4" s="413"/>
      <c r="P4" s="413"/>
      <c r="Q4" s="413"/>
      <c r="R4" s="413"/>
      <c r="S4" s="2"/>
      <c r="T4" s="2"/>
      <c r="U4" s="2"/>
      <c r="V4" s="2"/>
      <c r="W4" s="2"/>
      <c r="X4" s="2"/>
      <c r="Y4" s="2"/>
      <c r="Z4" s="2"/>
    </row>
    <row r="5" spans="1:26" ht="14.4" hidden="1" customHeight="1">
      <c r="A5" s="117"/>
      <c r="B5" s="118"/>
      <c r="C5" s="1"/>
      <c r="D5" s="1"/>
      <c r="E5" s="1"/>
      <c r="F5" s="115"/>
      <c r="G5" s="116"/>
      <c r="H5" s="1"/>
      <c r="I5" s="1"/>
      <c r="J5" s="1"/>
      <c r="K5" s="1"/>
      <c r="L5" s="2"/>
      <c r="M5" s="413"/>
      <c r="N5" s="413"/>
      <c r="O5" s="413"/>
      <c r="P5" s="413"/>
      <c r="Q5" s="413"/>
      <c r="R5" s="413"/>
      <c r="S5" s="2"/>
      <c r="T5" s="2"/>
      <c r="U5" s="2"/>
      <c r="V5" s="2"/>
      <c r="W5" s="2"/>
      <c r="X5" s="2"/>
      <c r="Y5" s="2"/>
      <c r="Z5" s="2"/>
    </row>
    <row r="6" spans="1:26" ht="40.5" customHeight="1">
      <c r="A6" s="1"/>
      <c r="B6" s="1"/>
      <c r="C6" s="1"/>
      <c r="D6" s="1"/>
      <c r="E6" s="1"/>
      <c r="F6" s="115"/>
      <c r="G6" s="116"/>
      <c r="H6" s="1"/>
      <c r="I6" s="1"/>
      <c r="J6" s="1"/>
      <c r="K6" s="1"/>
      <c r="L6" s="2"/>
      <c r="M6" s="413"/>
      <c r="N6" s="413"/>
      <c r="O6" s="413"/>
      <c r="P6" s="413"/>
      <c r="Q6" s="413"/>
      <c r="R6" s="413"/>
      <c r="S6" s="2"/>
      <c r="T6" s="2"/>
      <c r="U6" s="2"/>
      <c r="V6" s="2"/>
      <c r="W6" s="2"/>
      <c r="X6" s="2"/>
      <c r="Y6" s="2"/>
      <c r="Z6" s="2"/>
    </row>
    <row r="7" spans="1:26" ht="14.4" customHeight="1">
      <c r="A7" s="119"/>
      <c r="B7" s="119"/>
      <c r="C7" s="120"/>
      <c r="D7" s="119"/>
      <c r="E7" s="1"/>
      <c r="F7" s="121"/>
      <c r="G7" s="42"/>
      <c r="H7" s="1"/>
      <c r="I7" s="1"/>
      <c r="J7" s="1"/>
      <c r="K7" s="1"/>
      <c r="L7" s="2"/>
      <c r="M7" s="413"/>
      <c r="N7" s="413"/>
      <c r="O7" s="413"/>
      <c r="P7" s="413"/>
      <c r="Q7" s="413"/>
      <c r="R7" s="413"/>
      <c r="S7" s="2"/>
      <c r="T7" s="2"/>
      <c r="U7" s="2"/>
      <c r="V7" s="2"/>
      <c r="W7" s="2"/>
      <c r="X7" s="2"/>
      <c r="Y7" s="2"/>
      <c r="Z7" s="2"/>
    </row>
    <row r="8" spans="1:26" ht="15.6" customHeight="1">
      <c r="A8" s="118"/>
      <c r="B8" s="476"/>
      <c r="C8" s="413"/>
      <c r="D8" s="118"/>
      <c r="E8" s="123"/>
      <c r="F8" s="42"/>
      <c r="G8" s="42"/>
      <c r="H8" s="8"/>
      <c r="I8" s="7" t="s">
        <v>47</v>
      </c>
      <c r="J8" s="8" t="s">
        <v>4</v>
      </c>
      <c r="K8" s="8"/>
      <c r="L8" s="2"/>
      <c r="M8" s="413"/>
      <c r="N8" s="413"/>
      <c r="O8" s="413"/>
      <c r="P8" s="413"/>
      <c r="Q8" s="413"/>
      <c r="R8" s="413"/>
      <c r="S8" s="2"/>
      <c r="T8" s="2"/>
      <c r="U8" s="2"/>
      <c r="V8" s="2"/>
      <c r="W8" s="2"/>
      <c r="X8" s="2"/>
      <c r="Y8" s="2"/>
      <c r="Z8" s="2"/>
    </row>
    <row r="9" spans="1:26" ht="15.6" customHeight="1">
      <c r="A9" s="118"/>
      <c r="B9" s="122"/>
      <c r="C9" s="122"/>
      <c r="D9" s="118"/>
      <c r="E9" s="123"/>
      <c r="F9" s="42"/>
      <c r="G9" s="42"/>
      <c r="H9" s="8"/>
      <c r="I9" s="415"/>
      <c r="J9" s="413"/>
      <c r="K9" s="8"/>
      <c r="L9" s="2"/>
      <c r="M9" s="413"/>
      <c r="N9" s="413"/>
      <c r="O9" s="413"/>
      <c r="P9" s="413"/>
      <c r="Q9" s="413"/>
      <c r="R9" s="413"/>
      <c r="S9" s="2"/>
      <c r="T9" s="2"/>
      <c r="U9" s="2"/>
      <c r="V9" s="2"/>
      <c r="W9" s="2"/>
      <c r="X9" s="2"/>
      <c r="Y9" s="2"/>
      <c r="Z9" s="2"/>
    </row>
    <row r="10" spans="1:26" ht="14.4" customHeight="1">
      <c r="A10" s="1"/>
      <c r="B10" s="1"/>
      <c r="C10" s="1"/>
      <c r="D10" s="1"/>
      <c r="E10" s="1"/>
      <c r="F10" s="1"/>
      <c r="G10" s="1"/>
      <c r="H10" s="477" t="str">
        <f>Portada!H9</f>
        <v xml:space="preserve">No. De Certificado: </v>
      </c>
      <c r="I10" s="413"/>
      <c r="J10" s="478" t="str">
        <f>Portada!I9</f>
        <v>AGP-0100-26</v>
      </c>
      <c r="K10" s="413"/>
      <c r="L10" s="2"/>
      <c r="M10" s="413"/>
      <c r="N10" s="413"/>
      <c r="O10" s="413"/>
      <c r="P10" s="413"/>
      <c r="Q10" s="413"/>
      <c r="R10" s="413"/>
      <c r="S10" s="2"/>
      <c r="T10" s="2"/>
      <c r="U10" s="2"/>
      <c r="V10" s="2"/>
      <c r="W10" s="2"/>
      <c r="X10" s="2"/>
      <c r="Y10" s="2"/>
      <c r="Z10" s="2"/>
    </row>
    <row r="11" spans="1:26" ht="14.4" customHeight="1">
      <c r="A11" s="124"/>
      <c r="B11" s="124"/>
      <c r="C11" s="124"/>
      <c r="D11" s="124"/>
      <c r="E11" s="124"/>
      <c r="F11" s="124"/>
      <c r="G11" s="125"/>
      <c r="H11" s="452"/>
      <c r="I11" s="452"/>
      <c r="J11" s="452"/>
      <c r="K11" s="45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customHeight="1">
      <c r="A12" s="479" t="s">
        <v>48</v>
      </c>
      <c r="B12" s="449"/>
      <c r="C12" s="449"/>
      <c r="D12" s="449"/>
      <c r="E12" s="449"/>
      <c r="F12" s="449"/>
      <c r="G12" s="449"/>
      <c r="H12" s="449"/>
      <c r="I12" s="449"/>
      <c r="J12" s="449"/>
      <c r="K12" s="44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customHeight="1">
      <c r="A13" s="413"/>
      <c r="B13" s="413"/>
      <c r="C13" s="413"/>
      <c r="D13" s="413"/>
      <c r="E13" s="413"/>
      <c r="F13" s="413"/>
      <c r="G13" s="413"/>
      <c r="H13" s="413"/>
      <c r="I13" s="413"/>
      <c r="J13" s="413"/>
      <c r="K13" s="41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7.6" customHeight="1">
      <c r="A14" s="126"/>
      <c r="B14" s="126"/>
      <c r="C14" s="126"/>
      <c r="D14" s="126"/>
      <c r="E14" s="480"/>
      <c r="F14" s="413"/>
      <c r="G14" s="413"/>
      <c r="H14" s="413"/>
      <c r="I14" s="126"/>
      <c r="J14" s="126"/>
      <c r="K14" s="12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9.75" customHeight="1">
      <c r="A15" s="1"/>
      <c r="B15" s="1"/>
      <c r="C15" s="481"/>
      <c r="D15" s="413"/>
      <c r="E15" s="16"/>
      <c r="F15" s="482"/>
      <c r="G15" s="413"/>
      <c r="H15" s="413"/>
      <c r="I15" s="1"/>
      <c r="J15" s="1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hidden="1" customHeight="1">
      <c r="A16" s="1"/>
      <c r="B16" s="1"/>
      <c r="C16" s="42"/>
      <c r="D16" s="127"/>
      <c r="E16" s="16"/>
      <c r="F16" s="42"/>
      <c r="G16" s="42"/>
      <c r="H16" s="1"/>
      <c r="I16" s="1"/>
      <c r="J16" s="1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customHeight="1">
      <c r="A17" s="1"/>
      <c r="B17" s="1"/>
      <c r="C17" s="481"/>
      <c r="D17" s="413"/>
      <c r="E17" s="16"/>
      <c r="F17" s="482"/>
      <c r="G17" s="413"/>
      <c r="H17" s="413"/>
      <c r="I17" s="1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customHeight="1">
      <c r="A18" s="1"/>
      <c r="B18" s="1"/>
      <c r="C18" s="1"/>
      <c r="D18" s="127"/>
      <c r="E18" s="16"/>
      <c r="F18" s="46"/>
      <c r="G18" s="46"/>
      <c r="H18" s="3"/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.399999999999999" customHeight="1">
      <c r="A19" s="483" t="s">
        <v>49</v>
      </c>
      <c r="B19" s="413"/>
      <c r="C19" s="413"/>
      <c r="D19" s="413"/>
      <c r="E19" s="413"/>
      <c r="F19" s="413"/>
      <c r="G19" s="413"/>
      <c r="H19" s="413"/>
      <c r="I19" s="413"/>
      <c r="J19" s="413"/>
      <c r="K19" s="41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B20" s="128"/>
      <c r="C20" s="128"/>
      <c r="E20" s="129" t="s">
        <v>50</v>
      </c>
      <c r="F20" s="129" t="s">
        <v>51</v>
      </c>
      <c r="G20" s="129" t="s">
        <v>52</v>
      </c>
      <c r="H20" s="447" t="s">
        <v>53</v>
      </c>
      <c r="I20" s="413"/>
      <c r="K20" s="13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B21" s="128"/>
      <c r="C21" s="128"/>
      <c r="E21" s="131" t="str">
        <f>D33</f>
        <v>psi</v>
      </c>
      <c r="F21" s="131" t="str">
        <f t="shared" ref="F21:G21" si="0">E21</f>
        <v>psi</v>
      </c>
      <c r="G21" s="131" t="str">
        <f t="shared" si="0"/>
        <v>psi</v>
      </c>
      <c r="H21" s="41"/>
      <c r="I21" s="128"/>
      <c r="K21" s="13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B22" s="132"/>
      <c r="C22" s="132"/>
      <c r="D22" s="133"/>
      <c r="E22" s="134">
        <f>Calculos!I20</f>
        <v>4.0000000000000008E-2</v>
      </c>
      <c r="F22" s="134">
        <f>Calculos!H20</f>
        <v>4.0000000000000008E-2</v>
      </c>
      <c r="G22" s="134">
        <f>Calculos!J20</f>
        <v>0</v>
      </c>
      <c r="H22" s="484" t="str">
        <f>Calculos!K20</f>
        <v>ACEPTADO</v>
      </c>
      <c r="I22" s="413"/>
      <c r="J22" s="485"/>
      <c r="K22" s="41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B23" s="132"/>
      <c r="C23" s="132"/>
      <c r="D23" s="133"/>
      <c r="E23" s="134">
        <f>Calculos!I21</f>
        <v>0.1</v>
      </c>
      <c r="F23" s="134">
        <f>Calculos!H21</f>
        <v>0.1</v>
      </c>
      <c r="G23" s="134">
        <f>Calculos!J21</f>
        <v>0</v>
      </c>
      <c r="H23" s="484" t="str">
        <f>Calculos!K21</f>
        <v>ACEPTADO</v>
      </c>
      <c r="I23" s="413"/>
      <c r="J23" s="485"/>
      <c r="K23" s="41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B24" s="132"/>
      <c r="C24" s="132"/>
      <c r="E24" s="134">
        <f>Calculos!I22</f>
        <v>0.2</v>
      </c>
      <c r="F24" s="134">
        <f>Calculos!H22</f>
        <v>0.2</v>
      </c>
      <c r="G24" s="134">
        <f>Calculos!J22</f>
        <v>0</v>
      </c>
      <c r="H24" s="484" t="str">
        <f>Calculos!K22</f>
        <v>ACEPTADO</v>
      </c>
      <c r="I24" s="413"/>
      <c r="J24" s="485"/>
      <c r="K24" s="41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3"/>
      <c r="B25" s="486"/>
      <c r="C25" s="413"/>
      <c r="D25" s="135"/>
      <c r="E25" s="135"/>
      <c r="F25" s="135"/>
      <c r="G25" s="136"/>
      <c r="H25" s="137"/>
      <c r="I25" s="39"/>
      <c r="J25" s="138"/>
      <c r="K25" s="13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8.25" customHeight="1">
      <c r="A26" s="482"/>
      <c r="B26" s="413"/>
      <c r="C26" s="413"/>
      <c r="D26" s="135"/>
      <c r="E26" s="135"/>
      <c r="F26" s="487"/>
      <c r="G26" s="413"/>
      <c r="H26" s="137"/>
      <c r="I26" s="139"/>
      <c r="J26" s="488"/>
      <c r="K26" s="41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hidden="1" customHeight="1">
      <c r="A27" s="3"/>
      <c r="B27" s="486"/>
      <c r="C27" s="413"/>
      <c r="D27" s="135"/>
      <c r="E27" s="135"/>
      <c r="F27" s="135"/>
      <c r="G27" s="136"/>
      <c r="H27" s="137"/>
      <c r="I27" s="39"/>
      <c r="J27" s="140"/>
      <c r="K27" s="14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.5" customHeight="1">
      <c r="A28" s="482"/>
      <c r="B28" s="413"/>
      <c r="C28" s="413"/>
      <c r="D28" s="135"/>
      <c r="E28" s="135"/>
      <c r="F28" s="487"/>
      <c r="G28" s="413"/>
      <c r="H28" s="137"/>
      <c r="I28" s="139"/>
      <c r="J28" s="488"/>
      <c r="K28" s="41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3"/>
      <c r="B29" s="486"/>
      <c r="C29" s="413"/>
      <c r="D29" s="135"/>
      <c r="E29" s="135"/>
      <c r="F29" s="135"/>
      <c r="G29" s="136"/>
      <c r="H29" s="137"/>
      <c r="I29" s="39"/>
      <c r="J29" s="140"/>
      <c r="K29" s="14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482"/>
      <c r="B30" s="413"/>
      <c r="C30" s="413"/>
      <c r="D30" s="135"/>
      <c r="E30" s="135"/>
      <c r="F30" s="487"/>
      <c r="G30" s="413"/>
      <c r="H30" s="137"/>
      <c r="I30" s="139"/>
      <c r="J30" s="488"/>
      <c r="K30" s="41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482"/>
      <c r="B31" s="413"/>
      <c r="C31" s="413"/>
      <c r="D31" s="413"/>
      <c r="E31" s="413"/>
      <c r="F31" s="413"/>
      <c r="G31" s="413"/>
      <c r="H31" s="413"/>
      <c r="I31" s="413"/>
      <c r="J31" s="413"/>
      <c r="K31" s="41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s="141" customFormat="1" ht="36.75" customHeight="1">
      <c r="A32" s="142"/>
      <c r="B32" s="128"/>
      <c r="D32" s="129" t="s">
        <v>26</v>
      </c>
      <c r="E32" s="129" t="s">
        <v>51</v>
      </c>
      <c r="F32" s="129" t="s">
        <v>54</v>
      </c>
      <c r="G32" s="129" t="s">
        <v>55</v>
      </c>
      <c r="H32" s="129" t="s">
        <v>56</v>
      </c>
      <c r="I32" s="143" t="s">
        <v>57</v>
      </c>
      <c r="K32" s="128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 spans="1:26" ht="15.75" customHeight="1">
      <c r="A33" s="145"/>
      <c r="B33" s="146"/>
      <c r="D33" s="131" t="str">
        <f>Calculos!J10</f>
        <v>psi</v>
      </c>
      <c r="E33" s="131" t="str">
        <f t="shared" ref="E33:G33" si="1">D33</f>
        <v>psi</v>
      </c>
      <c r="F33" s="131" t="str">
        <f t="shared" si="1"/>
        <v>psi</v>
      </c>
      <c r="G33" s="131" t="str">
        <f t="shared" si="1"/>
        <v>psi</v>
      </c>
      <c r="H33" s="131" t="str">
        <f>G33</f>
        <v>psi</v>
      </c>
      <c r="I33" s="143"/>
      <c r="K33" s="14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9"/>
      <c r="B34" s="19"/>
      <c r="C34" s="39"/>
      <c r="D34" s="147">
        <f>Calculos!O28</f>
        <v>4.8000000000000001E-2</v>
      </c>
      <c r="E34" s="134">
        <f>Calculos!N28</f>
        <v>0.05</v>
      </c>
      <c r="F34" s="147">
        <f>Calculos!P28</f>
        <v>2.0000000000000018E-3</v>
      </c>
      <c r="G34" s="148">
        <f>Calculos!AE28</f>
        <v>0.12925040296520035</v>
      </c>
      <c r="H34" s="149">
        <f>Calculos!Q28</f>
        <v>0.01</v>
      </c>
      <c r="I34" s="150" t="str">
        <f>Calculos!S28</f>
        <v>RECHAZADO</v>
      </c>
      <c r="J34" s="19"/>
      <c r="K34" s="19"/>
      <c r="L34" s="151">
        <f>ABS(F34)+G34</f>
        <v>0.13125040296520035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9"/>
      <c r="B35" s="19"/>
      <c r="C35" s="39"/>
      <c r="D35" s="147">
        <f>Calculos!O29</f>
        <v>9.9000000000000005E-2</v>
      </c>
      <c r="E35" s="134">
        <f>Calculos!N29</f>
        <v>0.1</v>
      </c>
      <c r="F35" s="147">
        <f>Calculos!P29</f>
        <v>1.0000000000000009E-3</v>
      </c>
      <c r="G35" s="148">
        <f>Calculos!AE29</f>
        <v>0.12925040296520035</v>
      </c>
      <c r="H35" s="149">
        <f>Calculos!Q29</f>
        <v>0.01</v>
      </c>
      <c r="I35" s="150" t="str">
        <f>Calculos!S29</f>
        <v>RECHAZADO</v>
      </c>
      <c r="J35" s="19"/>
      <c r="K35" s="19"/>
      <c r="L35" s="151">
        <f t="shared" ref="L35:L42" si="2">ABS(F35)+G35</f>
        <v>0.13025040296520035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9"/>
      <c r="B36" s="19"/>
      <c r="C36" s="39"/>
      <c r="D36" s="152">
        <f>Calculos!O30</f>
        <v>0.14899999999999999</v>
      </c>
      <c r="E36" s="153">
        <f>Calculos!N30</f>
        <v>0.15</v>
      </c>
      <c r="F36" s="152">
        <f>Calculos!P30</f>
        <v>1.0000000000000009E-3</v>
      </c>
      <c r="G36" s="154">
        <f>Calculos!AE30</f>
        <v>0.12925040296520035</v>
      </c>
      <c r="H36" s="155">
        <f>Calculos!Q30</f>
        <v>0.01</v>
      </c>
      <c r="I36" s="156" t="str">
        <f>Calculos!S30</f>
        <v>RECHAZADO</v>
      </c>
      <c r="J36" s="19"/>
      <c r="K36" s="19"/>
      <c r="L36" s="151">
        <f t="shared" si="2"/>
        <v>0.13025040296520035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9"/>
      <c r="B37" s="19"/>
      <c r="C37" s="39"/>
      <c r="D37" s="152" t="str">
        <f>Calculos!O31</f>
        <v/>
      </c>
      <c r="E37" s="153" t="str">
        <f>Calculos!N31</f>
        <v/>
      </c>
      <c r="F37" s="152" t="str">
        <f>Calculos!P31</f>
        <v/>
      </c>
      <c r="G37" s="157" t="e">
        <f>Calculos!AE31</f>
        <v>#DIV/0!</v>
      </c>
      <c r="H37" s="158">
        <f>Calculos!Q31</f>
        <v>0.01</v>
      </c>
      <c r="I37" s="156" t="str">
        <f>Calculos!S31</f>
        <v/>
      </c>
      <c r="J37" s="19"/>
      <c r="K37" s="19"/>
      <c r="L37" s="151" t="e">
        <f t="shared" si="2"/>
        <v>#VALUE!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9"/>
      <c r="B38" s="19"/>
      <c r="C38" s="39"/>
      <c r="D38" s="152" t="str">
        <f>Calculos!O32</f>
        <v/>
      </c>
      <c r="E38" s="153" t="str">
        <f>Calculos!N32</f>
        <v/>
      </c>
      <c r="F38" s="152" t="str">
        <f>Calculos!P32</f>
        <v/>
      </c>
      <c r="G38" s="157" t="e">
        <f>Calculos!AE32</f>
        <v>#DIV/0!</v>
      </c>
      <c r="H38" s="158">
        <f>Calculos!Q32</f>
        <v>0.01</v>
      </c>
      <c r="I38" s="156" t="str">
        <f>Calculos!S32</f>
        <v/>
      </c>
      <c r="J38" s="19"/>
      <c r="K38" s="19"/>
      <c r="L38" s="151" t="e">
        <f t="shared" si="2"/>
        <v>#VALUE!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9"/>
      <c r="B39" s="19"/>
      <c r="C39" s="159"/>
      <c r="D39" s="160" t="str">
        <f>Calculos!O33</f>
        <v/>
      </c>
      <c r="E39" s="158" t="str">
        <f>Calculos!N33</f>
        <v/>
      </c>
      <c r="F39" s="160" t="str">
        <f>Calculos!P33</f>
        <v/>
      </c>
      <c r="G39" s="157" t="e">
        <f>Calculos!AE33</f>
        <v>#DIV/0!</v>
      </c>
      <c r="H39" s="158">
        <f>Calculos!Q33</f>
        <v>0.01</v>
      </c>
      <c r="I39" s="161" t="str">
        <f>Calculos!S33</f>
        <v/>
      </c>
      <c r="J39" s="19"/>
      <c r="K39" s="19"/>
      <c r="L39" s="151" t="e">
        <f t="shared" si="2"/>
        <v>#VALUE!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9"/>
      <c r="B40" s="19"/>
      <c r="C40" s="159"/>
      <c r="D40" s="160" t="str">
        <f>Calculos!O34</f>
        <v/>
      </c>
      <c r="E40" s="158" t="str">
        <f>Calculos!N34</f>
        <v/>
      </c>
      <c r="F40" s="160" t="str">
        <f>Calculos!P34</f>
        <v/>
      </c>
      <c r="G40" s="157" t="e">
        <f>Calculos!AE34</f>
        <v>#DIV/0!</v>
      </c>
      <c r="H40" s="158">
        <f>Calculos!Q34</f>
        <v>0.01</v>
      </c>
      <c r="I40" s="161" t="str">
        <f>Calculos!S34</f>
        <v/>
      </c>
      <c r="J40" s="19"/>
      <c r="K40" s="19"/>
      <c r="L40" s="151" t="e">
        <f t="shared" si="2"/>
        <v>#VALUE!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9"/>
      <c r="B41" s="19"/>
      <c r="C41" s="159"/>
      <c r="D41" s="160" t="str">
        <f>Calculos!O35</f>
        <v/>
      </c>
      <c r="E41" s="158" t="str">
        <f>Calculos!N35</f>
        <v/>
      </c>
      <c r="F41" s="160" t="str">
        <f>Calculos!P35</f>
        <v/>
      </c>
      <c r="G41" s="157" t="e">
        <f>Calculos!AE35</f>
        <v>#DIV/0!</v>
      </c>
      <c r="H41" s="158">
        <f>Calculos!Q35</f>
        <v>0.01</v>
      </c>
      <c r="I41" s="161" t="str">
        <f>Calculos!S35</f>
        <v/>
      </c>
      <c r="J41" s="19"/>
      <c r="K41" s="19"/>
      <c r="L41" s="151" t="e">
        <f t="shared" si="2"/>
        <v>#VALUE!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9"/>
      <c r="B42" s="19"/>
      <c r="C42" s="159">
        <v>9</v>
      </c>
      <c r="D42" s="160" t="str">
        <f>Calculos!O36</f>
        <v/>
      </c>
      <c r="E42" s="158" t="str">
        <f>Calculos!N36</f>
        <v/>
      </c>
      <c r="F42" s="160" t="str">
        <f>Calculos!P36</f>
        <v/>
      </c>
      <c r="G42" s="157" t="e">
        <f>Calculos!AE36</f>
        <v>#DIV/0!</v>
      </c>
      <c r="H42" s="158">
        <f>Calculos!Q36</f>
        <v>0.01</v>
      </c>
      <c r="I42" s="161" t="str">
        <f>Calculos!S36</f>
        <v/>
      </c>
      <c r="J42" s="19"/>
      <c r="K42" s="19"/>
      <c r="L42" s="151" t="e">
        <f t="shared" si="2"/>
        <v>#VALUE!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9"/>
      <c r="B43" s="19"/>
      <c r="C43" s="159">
        <v>10</v>
      </c>
      <c r="D43" s="160" t="str">
        <f>Calculos!O37</f>
        <v/>
      </c>
      <c r="E43" s="158" t="str">
        <f>Calculos!N37</f>
        <v/>
      </c>
      <c r="F43" s="160" t="str">
        <f>Calculos!P37</f>
        <v/>
      </c>
      <c r="G43" s="157" t="e">
        <f>Calculos!AE37</f>
        <v>#DIV/0!</v>
      </c>
      <c r="H43" s="158">
        <f>Calculos!Q37</f>
        <v>0.01</v>
      </c>
      <c r="I43" s="161" t="str">
        <f>Calculos!S37</f>
        <v/>
      </c>
      <c r="J43" s="19"/>
      <c r="K43" s="19"/>
      <c r="L43" s="151" t="e">
        <f>ABS(F43)+G43</f>
        <v>#VALUE!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9"/>
      <c r="B44" s="19"/>
      <c r="C44" s="39"/>
      <c r="D44" s="162"/>
      <c r="E44" s="162"/>
      <c r="F44" s="163"/>
      <c r="G44" s="164"/>
      <c r="H44" s="162"/>
      <c r="I44" s="165"/>
      <c r="J44" s="19"/>
      <c r="K44" s="1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9"/>
      <c r="B45" s="19"/>
      <c r="C45" s="19"/>
      <c r="D45" s="19"/>
      <c r="E45" s="19"/>
      <c r="F45" s="19"/>
      <c r="G45" s="166"/>
      <c r="H45" s="19"/>
      <c r="I45" s="19"/>
      <c r="J45" s="19"/>
      <c r="K45" s="1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9"/>
      <c r="B46" s="19"/>
      <c r="C46" s="19"/>
      <c r="D46" s="19"/>
      <c r="E46" s="19"/>
      <c r="F46" s="19"/>
      <c r="G46" s="19"/>
      <c r="H46" s="19"/>
      <c r="I46" s="167">
        <f>COUNTIF(I34:I43,"RECHAZADO")</f>
        <v>3</v>
      </c>
      <c r="J46" s="19"/>
      <c r="K46" s="1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68" t="s">
        <v>58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" customHeight="1">
      <c r="A49" s="445"/>
      <c r="B49" s="413"/>
      <c r="C49" s="413"/>
      <c r="D49" s="413"/>
      <c r="E49" s="413"/>
      <c r="F49" s="19"/>
      <c r="G49" s="19"/>
      <c r="H49" s="19"/>
      <c r="I49" s="19"/>
      <c r="J49" s="19"/>
      <c r="K49" s="1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hidden="1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hidden="1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.5" customHeight="1">
      <c r="A54" s="3"/>
      <c r="B54" s="486"/>
      <c r="C54" s="413"/>
      <c r="D54" s="169"/>
      <c r="E54" s="170"/>
      <c r="F54" s="489"/>
      <c r="G54" s="413"/>
      <c r="H54" s="172"/>
      <c r="I54" s="172"/>
      <c r="J54" s="173"/>
      <c r="K54" s="17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6.75" hidden="1" customHeight="1">
      <c r="A55" s="3"/>
      <c r="B55" s="486"/>
      <c r="C55" s="413"/>
      <c r="D55" s="169"/>
      <c r="E55" s="170"/>
      <c r="F55" s="171"/>
      <c r="G55" s="1"/>
      <c r="H55" s="172"/>
      <c r="I55" s="39"/>
      <c r="J55" s="173"/>
      <c r="K55" s="17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hidden="1" customHeight="1">
      <c r="A56" s="3"/>
      <c r="B56" s="486"/>
      <c r="C56" s="413"/>
      <c r="D56" s="169"/>
      <c r="E56" s="170"/>
      <c r="F56" s="489"/>
      <c r="G56" s="413"/>
      <c r="H56" s="172"/>
      <c r="I56" s="172"/>
      <c r="J56" s="173"/>
      <c r="K56" s="17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hidden="1" customHeight="1">
      <c r="A57" s="3"/>
      <c r="B57" s="486"/>
      <c r="C57" s="413"/>
      <c r="D57" s="169"/>
      <c r="E57" s="170"/>
      <c r="F57" s="171"/>
      <c r="G57" s="1"/>
      <c r="H57" s="172"/>
      <c r="I57" s="39"/>
      <c r="J57" s="173"/>
      <c r="K57" s="17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.75" hidden="1" customHeight="1">
      <c r="A58" s="3"/>
      <c r="B58" s="486"/>
      <c r="C58" s="413"/>
      <c r="D58" s="169"/>
      <c r="E58" s="170"/>
      <c r="F58" s="489"/>
      <c r="G58" s="413"/>
      <c r="H58" s="172"/>
      <c r="I58" s="172"/>
      <c r="J58" s="173"/>
      <c r="K58" s="17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hidden="1" customHeight="1">
      <c r="A59" s="3"/>
      <c r="B59" s="486"/>
      <c r="C59" s="413"/>
      <c r="D59" s="169"/>
      <c r="E59" s="170"/>
      <c r="F59" s="171"/>
      <c r="G59" s="1"/>
      <c r="H59" s="172"/>
      <c r="I59" s="39"/>
      <c r="J59" s="173"/>
      <c r="K59" s="17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hidden="1" customHeight="1">
      <c r="A60" s="3"/>
      <c r="B60" s="486"/>
      <c r="C60" s="413"/>
      <c r="D60" s="169"/>
      <c r="E60" s="170"/>
      <c r="F60" s="489"/>
      <c r="G60" s="413"/>
      <c r="H60" s="172"/>
      <c r="I60" s="172"/>
      <c r="J60" s="173"/>
      <c r="K60" s="17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hidden="1" customHeight="1">
      <c r="A61" s="3"/>
      <c r="B61" s="486"/>
      <c r="C61" s="413"/>
      <c r="D61" s="169"/>
      <c r="E61" s="170"/>
      <c r="F61" s="171"/>
      <c r="G61" s="1"/>
      <c r="H61" s="172"/>
      <c r="I61" s="39"/>
      <c r="J61" s="173"/>
      <c r="K61" s="17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customHeight="1">
      <c r="A62" s="490"/>
      <c r="B62" s="413"/>
      <c r="C62" s="413"/>
      <c r="D62" s="413"/>
      <c r="E62" s="413"/>
      <c r="F62" s="413"/>
      <c r="G62" s="413"/>
      <c r="H62" s="413"/>
      <c r="I62" s="413"/>
      <c r="J62" s="413"/>
      <c r="K62" s="41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customHeight="1">
      <c r="A63" s="491" t="s">
        <v>59</v>
      </c>
      <c r="B63" s="413"/>
      <c r="C63" s="413"/>
      <c r="D63" s="413"/>
      <c r="E63" s="413"/>
      <c r="F63" s="413"/>
      <c r="G63" s="413"/>
      <c r="H63" s="413"/>
      <c r="I63" s="413"/>
      <c r="J63" s="413"/>
      <c r="K63" s="41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492" t="s">
        <v>60</v>
      </c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491" t="s">
        <v>61</v>
      </c>
      <c r="B65" s="413"/>
      <c r="C65" s="413"/>
      <c r="D65" s="413"/>
      <c r="E65" s="413"/>
      <c r="F65" s="413"/>
      <c r="G65" s="413"/>
      <c r="H65" s="413"/>
      <c r="I65" s="413"/>
      <c r="J65" s="413"/>
      <c r="K65" s="41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493" t="s">
        <v>62</v>
      </c>
      <c r="B68" s="413"/>
      <c r="C68" s="413"/>
      <c r="D68" s="39" t="s">
        <v>63</v>
      </c>
      <c r="E68" s="494" t="str">
        <f>IF(I46&gt;0,"NO CUMPLE",IF(I46=0,"CUMPLE",""))</f>
        <v>NO CUMPLE</v>
      </c>
      <c r="F68" s="452"/>
      <c r="G68" s="452"/>
      <c r="H68" s="445" t="s">
        <v>64</v>
      </c>
      <c r="I68" s="413"/>
      <c r="J68" s="18">
        <f>Calculos!F15</f>
        <v>0</v>
      </c>
      <c r="K68" s="130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9"/>
      <c r="B69" s="19"/>
      <c r="C69" s="19"/>
      <c r="D69" s="445"/>
      <c r="E69" s="413"/>
      <c r="F69" s="413"/>
      <c r="G69" s="413"/>
      <c r="H69" s="413"/>
      <c r="I69" s="413"/>
      <c r="J69" s="19"/>
      <c r="K69" s="1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" customHeight="1">
      <c r="A70" s="176"/>
      <c r="B70" s="176"/>
      <c r="C70" s="176"/>
      <c r="D70" s="176"/>
      <c r="E70" s="176"/>
      <c r="F70" s="176"/>
      <c r="G70" s="176"/>
      <c r="H70" s="176"/>
      <c r="I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hidden="1" customHeight="1">
      <c r="A72" s="3"/>
      <c r="B72" s="25"/>
      <c r="C72" s="450"/>
      <c r="D72" s="413"/>
      <c r="E72" s="1"/>
      <c r="F72" s="25"/>
      <c r="G72" s="42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76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495" t="s">
        <v>65</v>
      </c>
      <c r="B74" s="413"/>
      <c r="C74" s="413"/>
      <c r="D74" s="413"/>
      <c r="E74" s="413"/>
      <c r="F74" s="413"/>
      <c r="G74" s="413"/>
      <c r="H74" s="413"/>
      <c r="I74" s="413"/>
      <c r="J74" s="413"/>
      <c r="K74" s="41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77"/>
      <c r="B75" s="178"/>
      <c r="C75" s="178"/>
      <c r="D75" s="178"/>
      <c r="E75" s="178"/>
      <c r="F75" s="496"/>
      <c r="G75" s="452"/>
      <c r="H75" s="178"/>
      <c r="I75" s="178"/>
      <c r="J75" s="178"/>
      <c r="K75" s="178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455" t="str">
        <f>Portada!A70</f>
        <v>AG-CER-CAL-C01-01</v>
      </c>
      <c r="B76" s="449"/>
      <c r="C76" s="449"/>
      <c r="D76" s="456" t="s">
        <v>66</v>
      </c>
      <c r="E76" s="449"/>
      <c r="F76" s="449"/>
      <c r="G76" s="449"/>
      <c r="H76" s="449"/>
      <c r="I76" s="449"/>
      <c r="J76" s="449"/>
      <c r="K76" s="44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6.75" customHeight="1">
      <c r="A77" s="413"/>
      <c r="B77" s="413"/>
      <c r="C77" s="413"/>
      <c r="D77" s="413"/>
      <c r="E77" s="413"/>
      <c r="F77" s="413"/>
      <c r="G77" s="413"/>
      <c r="H77" s="413"/>
      <c r="I77" s="413"/>
      <c r="J77" s="413"/>
      <c r="K77" s="41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heetProtection algorithmName="SHA-512" hashValue="buMEVeBINGBRcOtc3rVxuCgJ88Xbuedmz2QKhOPaJ4OlKZHYNegKd2Qekynp+JICLqQ1Vv9lALauwWaEkfR2+Q==" saltValue="D5qQA2Q09LtpdBj+sg88sw==" spinCount="100000" sheet="1" formatCells="0" formatColumns="0"/>
  <mergeCells count="58">
    <mergeCell ref="A74:K74"/>
    <mergeCell ref="F75:G75"/>
    <mergeCell ref="A76:C77"/>
    <mergeCell ref="D76:K77"/>
    <mergeCell ref="A68:C68"/>
    <mergeCell ref="E68:G68"/>
    <mergeCell ref="H68:I68"/>
    <mergeCell ref="D69:I69"/>
    <mergeCell ref="C72:D72"/>
    <mergeCell ref="B61:C61"/>
    <mergeCell ref="A62:K62"/>
    <mergeCell ref="A63:K63"/>
    <mergeCell ref="A64:K64"/>
    <mergeCell ref="A65:K65"/>
    <mergeCell ref="B57:C57"/>
    <mergeCell ref="B58:C58"/>
    <mergeCell ref="F58:G58"/>
    <mergeCell ref="B59:C59"/>
    <mergeCell ref="B60:C60"/>
    <mergeCell ref="F60:G60"/>
    <mergeCell ref="B54:C54"/>
    <mergeCell ref="F54:G54"/>
    <mergeCell ref="B55:C55"/>
    <mergeCell ref="B56:C56"/>
    <mergeCell ref="F56:G56"/>
    <mergeCell ref="A30:C30"/>
    <mergeCell ref="F30:G30"/>
    <mergeCell ref="J30:K30"/>
    <mergeCell ref="A31:K31"/>
    <mergeCell ref="A49:E49"/>
    <mergeCell ref="B27:C27"/>
    <mergeCell ref="A28:C28"/>
    <mergeCell ref="F28:G28"/>
    <mergeCell ref="J28:K28"/>
    <mergeCell ref="B29:C29"/>
    <mergeCell ref="H24:I24"/>
    <mergeCell ref="J24:K24"/>
    <mergeCell ref="B25:C25"/>
    <mergeCell ref="A26:C26"/>
    <mergeCell ref="F26:G26"/>
    <mergeCell ref="J26:K26"/>
    <mergeCell ref="A19:K19"/>
    <mergeCell ref="H20:I20"/>
    <mergeCell ref="H22:I22"/>
    <mergeCell ref="J22:K22"/>
    <mergeCell ref="H23:I23"/>
    <mergeCell ref="J23:K23"/>
    <mergeCell ref="A12:K13"/>
    <mergeCell ref="E14:H14"/>
    <mergeCell ref="C15:D15"/>
    <mergeCell ref="F15:H15"/>
    <mergeCell ref="C17:D17"/>
    <mergeCell ref="F17:H17"/>
    <mergeCell ref="M4:R10"/>
    <mergeCell ref="B8:C8"/>
    <mergeCell ref="I9:J9"/>
    <mergeCell ref="H10:I11"/>
    <mergeCell ref="J10:K11"/>
  </mergeCells>
  <pageMargins left="0.25" right="0.25" top="0.75" bottom="0.75" header="0" footer="0"/>
  <pageSetup scale="61" orientation="portrait" useFirstPageNumber="1" horizontalDpi="4294967295" verticalDpi="4294967295" r:id="rId1"/>
  <headerFooter>
    <oddFooter>&amp;C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000"/>
  <sheetViews>
    <sheetView tabSelected="1" zoomScale="51" zoomScaleNormal="55" workbookViewId="0">
      <selection activeCell="E4" sqref="E4:F4"/>
    </sheetView>
  </sheetViews>
  <sheetFormatPr baseColWidth="10" defaultColWidth="14.44140625" defaultRowHeight="14.4" customHeight="1"/>
  <cols>
    <col min="1" max="1" width="26.44140625" customWidth="1"/>
    <col min="2" max="2" width="31.5546875" customWidth="1"/>
    <col min="3" max="3" width="37.6640625" customWidth="1"/>
    <col min="4" max="4" width="33.5546875" customWidth="1"/>
    <col min="5" max="5" width="33.44140625" customWidth="1"/>
    <col min="6" max="6" width="34.109375" customWidth="1"/>
    <col min="7" max="7" width="21.44140625" customWidth="1"/>
    <col min="8" max="8" width="34.44140625" customWidth="1"/>
    <col min="9" max="9" width="36.6640625" customWidth="1"/>
    <col min="10" max="10" width="31.88671875" customWidth="1"/>
    <col min="11" max="11" width="56" customWidth="1"/>
    <col min="12" max="12" width="57.88671875" customWidth="1"/>
    <col min="13" max="13" width="34.109375" customWidth="1"/>
    <col min="14" max="14" width="18.5546875" customWidth="1"/>
    <col min="15" max="15" width="27.44140625" customWidth="1"/>
    <col min="16" max="16" width="25.44140625" customWidth="1"/>
    <col min="17" max="17" width="24.44140625" customWidth="1"/>
    <col min="18" max="18" width="21" customWidth="1"/>
    <col min="19" max="19" width="23.6640625" customWidth="1"/>
    <col min="20" max="20" width="15.109375" customWidth="1"/>
    <col min="21" max="21" width="12.6640625" customWidth="1"/>
    <col min="22" max="22" width="13" customWidth="1"/>
    <col min="23" max="23" width="19.6640625" customWidth="1"/>
    <col min="24" max="24" width="18.5546875" customWidth="1"/>
    <col min="25" max="25" width="21.6640625" customWidth="1"/>
    <col min="26" max="26" width="18.33203125" customWidth="1"/>
    <col min="27" max="27" width="16.33203125" customWidth="1"/>
    <col min="28" max="28" width="17.5546875" customWidth="1"/>
    <col min="29" max="29" width="17.44140625" customWidth="1"/>
    <col min="30" max="30" width="20" customWidth="1"/>
    <col min="31" max="31" width="19.44140625" customWidth="1"/>
    <col min="32" max="32" width="13.6640625" customWidth="1"/>
    <col min="33" max="33" width="13.33203125" customWidth="1"/>
    <col min="34" max="40" width="11.44140625" customWidth="1"/>
  </cols>
  <sheetData>
    <row r="1" spans="1:40">
      <c r="A1" s="497" t="s">
        <v>67</v>
      </c>
      <c r="B1" s="437"/>
      <c r="C1" s="437"/>
      <c r="D1" s="437"/>
      <c r="E1" s="437"/>
      <c r="F1" s="437"/>
      <c r="G1" s="437"/>
      <c r="H1" s="437"/>
      <c r="I1" s="437"/>
      <c r="J1" s="498"/>
      <c r="K1" s="179"/>
      <c r="L1" s="179"/>
      <c r="M1" s="503" t="s">
        <v>68</v>
      </c>
      <c r="N1" s="417"/>
      <c r="O1" s="417"/>
      <c r="P1" s="417"/>
      <c r="Q1" s="417"/>
      <c r="R1" s="417"/>
      <c r="S1" s="417"/>
      <c r="T1" s="417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2"/>
      <c r="AI1" s="2"/>
      <c r="AJ1" s="2"/>
      <c r="AK1" s="2"/>
      <c r="AL1" s="2"/>
      <c r="AM1" s="2"/>
      <c r="AN1" s="2"/>
    </row>
    <row r="2" spans="1:40">
      <c r="A2" s="499"/>
      <c r="B2" s="413"/>
      <c r="C2" s="413"/>
      <c r="D2" s="413"/>
      <c r="E2" s="413"/>
      <c r="F2" s="413"/>
      <c r="G2" s="413"/>
      <c r="H2" s="413"/>
      <c r="I2" s="413"/>
      <c r="J2" s="500"/>
      <c r="K2" s="179"/>
      <c r="L2" s="179"/>
      <c r="M2" s="417"/>
      <c r="N2" s="417"/>
      <c r="O2" s="417"/>
      <c r="P2" s="417"/>
      <c r="Q2" s="417"/>
      <c r="R2" s="417"/>
      <c r="S2" s="417"/>
      <c r="T2" s="417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2"/>
      <c r="AI2" s="2"/>
      <c r="AJ2" s="2"/>
      <c r="AK2" s="2"/>
      <c r="AL2" s="2"/>
      <c r="AM2" s="2"/>
      <c r="AN2" s="2"/>
    </row>
    <row r="3" spans="1:40" ht="21" customHeight="1">
      <c r="A3" s="501"/>
      <c r="B3" s="420"/>
      <c r="C3" s="420"/>
      <c r="D3" s="420"/>
      <c r="E3" s="420"/>
      <c r="F3" s="420"/>
      <c r="G3" s="420"/>
      <c r="H3" s="420"/>
      <c r="I3" s="420"/>
      <c r="J3" s="502"/>
      <c r="K3" s="179"/>
      <c r="L3" s="179"/>
      <c r="M3" s="180" t="s">
        <v>26</v>
      </c>
      <c r="N3" s="180" t="s">
        <v>27</v>
      </c>
      <c r="O3" s="180" t="s">
        <v>69</v>
      </c>
      <c r="P3" s="180" t="s">
        <v>29</v>
      </c>
      <c r="Q3" s="180" t="s">
        <v>30</v>
      </c>
      <c r="R3" s="180" t="s">
        <v>70</v>
      </c>
      <c r="S3" s="504" t="s">
        <v>32</v>
      </c>
      <c r="T3" s="422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2"/>
      <c r="AI3" s="2"/>
      <c r="AJ3" s="2"/>
      <c r="AK3" s="2"/>
      <c r="AL3" s="2"/>
      <c r="AM3" s="2"/>
      <c r="AN3" s="2"/>
    </row>
    <row r="4" spans="1:40" ht="24.6" customHeight="1">
      <c r="A4" s="181" t="str">
        <f>VLOOKUP(B5,'AG-ADM-F10-00'!A2:C72,2,TRUE)</f>
        <v>Metrics Works Saltillo</v>
      </c>
      <c r="B4" s="182"/>
      <c r="C4" s="505" t="s">
        <v>71</v>
      </c>
      <c r="D4" s="437"/>
      <c r="E4" s="506" t="s">
        <v>1096</v>
      </c>
      <c r="F4" s="507"/>
      <c r="G4" s="183"/>
      <c r="H4" s="183" t="s">
        <v>9</v>
      </c>
      <c r="I4" s="508" t="s">
        <v>72</v>
      </c>
      <c r="J4" s="509"/>
      <c r="K4" s="184" t="s">
        <v>73</v>
      </c>
      <c r="L4" s="179"/>
      <c r="M4" s="185" t="str">
        <f>Patrones!B20</f>
        <v>Manómetro Digital</v>
      </c>
      <c r="N4" s="186" t="str">
        <f>Patrones!D20</f>
        <v>AG-052</v>
      </c>
      <c r="O4" s="186" t="str">
        <f>Patrones!D21</f>
        <v>1-23207</v>
      </c>
      <c r="P4" s="186" t="str">
        <f>Patrones!B21</f>
        <v>Druck</v>
      </c>
      <c r="Q4" s="186" t="str">
        <f>Patrones!B22</f>
        <v>DPI104</v>
      </c>
      <c r="R4" s="186">
        <f>Patrones!B23</f>
        <v>5335895</v>
      </c>
      <c r="S4" s="510">
        <f>Patrones!D23</f>
        <v>45989</v>
      </c>
      <c r="T4" s="511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2"/>
      <c r="AI4" s="2"/>
      <c r="AJ4" s="2"/>
      <c r="AK4" s="2"/>
      <c r="AL4" s="2"/>
      <c r="AM4" s="2"/>
      <c r="AN4" s="2"/>
    </row>
    <row r="5" spans="1:40" ht="24.6" customHeight="1">
      <c r="A5" s="187" t="s">
        <v>74</v>
      </c>
      <c r="B5" s="512" t="s">
        <v>856</v>
      </c>
      <c r="C5" s="513"/>
      <c r="D5" s="188" t="s">
        <v>76</v>
      </c>
      <c r="E5" s="514" t="str">
        <f>VLOOKUP(B5, BD_Clientes!A:H, 4, FALSE)</f>
        <v>JOSEW.NUNEZ@TECHOPS.MX</v>
      </c>
      <c r="F5" s="513"/>
      <c r="G5" s="188"/>
      <c r="H5" s="188" t="s">
        <v>13</v>
      </c>
      <c r="I5" s="515">
        <v>45918</v>
      </c>
      <c r="J5" s="516"/>
      <c r="K5" s="184" t="s">
        <v>77</v>
      </c>
      <c r="L5" s="179"/>
      <c r="M5" s="185" t="str">
        <f>Patrones!B4</f>
        <v>Manómetro Digital</v>
      </c>
      <c r="N5" s="186" t="str">
        <f>Patrones!D4</f>
        <v>AG-008</v>
      </c>
      <c r="O5" s="186" t="str">
        <f>Patrones!D5</f>
        <v>1-24842</v>
      </c>
      <c r="P5" s="186" t="str">
        <f>Patrones!B5</f>
        <v>Omega</v>
      </c>
      <c r="Q5" s="186" t="str">
        <f>Patrones!B6</f>
        <v>DPG-4000-10K</v>
      </c>
      <c r="R5" s="186">
        <f>Patrones!B7</f>
        <v>9941257</v>
      </c>
      <c r="S5" s="510">
        <f>Patrones!D7</f>
        <v>46057</v>
      </c>
      <c r="T5" s="511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2"/>
      <c r="AI5" s="2"/>
      <c r="AJ5" s="2"/>
      <c r="AK5" s="2"/>
      <c r="AL5" s="2"/>
      <c r="AM5" s="2"/>
      <c r="AN5" s="2"/>
    </row>
    <row r="6" spans="1:40" ht="24.6" customHeight="1">
      <c r="A6" s="187" t="s">
        <v>78</v>
      </c>
      <c r="B6" s="512" t="str">
        <f>VLOOKUP(B5, BD_Clientes!A:H, 2, FALSE)</f>
        <v>Carr. Querétaro-Tequisquiapan 22500-A, 76270 Santiago de Querétaro, Qro.</v>
      </c>
      <c r="C6" s="513"/>
      <c r="D6" s="188" t="s">
        <v>79</v>
      </c>
      <c r="E6" s="517" t="str">
        <f>VLOOKUP(B5, BD_Clientes!A:H, 5, FALSE)</f>
        <v>(44) 2480 7334</v>
      </c>
      <c r="F6" s="513"/>
      <c r="G6" s="188"/>
      <c r="H6" s="188" t="s">
        <v>80</v>
      </c>
      <c r="I6" s="518">
        <v>46283</v>
      </c>
      <c r="J6" s="516"/>
      <c r="K6" s="184" t="s">
        <v>81</v>
      </c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2"/>
      <c r="AI6" s="2"/>
      <c r="AJ6" s="2"/>
      <c r="AK6" s="2"/>
      <c r="AL6" s="2"/>
      <c r="AM6" s="2"/>
      <c r="AN6" s="2"/>
    </row>
    <row r="7" spans="1:40" ht="24.6" customHeight="1">
      <c r="A7" s="189" t="s">
        <v>82</v>
      </c>
      <c r="B7" s="519" t="str">
        <f>VLOOKUP(B5, BD_Clientes!A:H, 3, FALSE)</f>
        <v>Ing. Wilfrido Nuñez</v>
      </c>
      <c r="C7" s="520"/>
      <c r="D7" s="188" t="s">
        <v>83</v>
      </c>
      <c r="E7" s="517" t="str">
        <f>VLOOKUP(B5,'AG-ADM-F10-00'!A2:G72,7,TRUE)</f>
        <v>N/A</v>
      </c>
      <c r="F7" s="513"/>
      <c r="G7" s="190"/>
      <c r="H7" s="190" t="s">
        <v>17</v>
      </c>
      <c r="I7" s="521">
        <v>45918</v>
      </c>
      <c r="J7" s="522"/>
      <c r="K7" s="184" t="s">
        <v>84</v>
      </c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2"/>
      <c r="AI7" s="2"/>
      <c r="AJ7" s="2"/>
      <c r="AK7" s="2"/>
      <c r="AL7" s="2"/>
      <c r="AM7" s="2"/>
      <c r="AN7" s="2"/>
    </row>
    <row r="8" spans="1:40" ht="32.4" customHeight="1">
      <c r="A8" s="191"/>
      <c r="B8" s="191"/>
      <c r="C8" s="191"/>
      <c r="D8" s="191"/>
      <c r="E8" s="191"/>
      <c r="F8" s="191"/>
      <c r="G8" s="191"/>
      <c r="H8" s="191"/>
      <c r="I8" s="191"/>
      <c r="J8" s="191"/>
      <c r="K8" s="184" t="s">
        <v>85</v>
      </c>
      <c r="L8" s="179"/>
      <c r="M8" s="523"/>
      <c r="N8" s="520"/>
      <c r="O8" s="524" t="s">
        <v>86</v>
      </c>
      <c r="P8" s="420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2"/>
      <c r="AI8" s="2"/>
      <c r="AJ8" s="2"/>
      <c r="AK8" s="2"/>
      <c r="AL8" s="2"/>
      <c r="AM8" s="2"/>
      <c r="AN8" s="2"/>
    </row>
    <row r="9" spans="1:40" ht="21" customHeight="1">
      <c r="A9" s="192" t="s">
        <v>87</v>
      </c>
      <c r="B9" s="525"/>
      <c r="C9" s="526"/>
      <c r="D9" s="193"/>
      <c r="E9" s="183" t="s">
        <v>88</v>
      </c>
      <c r="F9" s="527">
        <v>1651</v>
      </c>
      <c r="G9" s="526"/>
      <c r="H9" s="505" t="s">
        <v>89</v>
      </c>
      <c r="I9" s="437"/>
      <c r="J9" s="194">
        <v>0.01</v>
      </c>
      <c r="K9" s="195"/>
      <c r="L9" s="179"/>
      <c r="M9" s="528" t="s">
        <v>90</v>
      </c>
      <c r="N9" s="437"/>
      <c r="O9" s="528" t="s">
        <v>91</v>
      </c>
      <c r="P9" s="437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2"/>
      <c r="AI9" s="2"/>
      <c r="AJ9" s="2"/>
      <c r="AK9" s="2"/>
      <c r="AL9" s="2"/>
      <c r="AM9" s="2"/>
      <c r="AN9" s="2"/>
    </row>
    <row r="10" spans="1:40" ht="22.8" customHeight="1">
      <c r="A10" s="187" t="s">
        <v>92</v>
      </c>
      <c r="B10" s="529"/>
      <c r="C10" s="513"/>
      <c r="D10" s="196"/>
      <c r="E10" s="188" t="s">
        <v>93</v>
      </c>
      <c r="F10" s="530">
        <v>0.2</v>
      </c>
      <c r="G10" s="531"/>
      <c r="H10" s="532" t="s">
        <v>94</v>
      </c>
      <c r="I10" s="533"/>
      <c r="J10" s="197" t="s">
        <v>95</v>
      </c>
      <c r="K10" s="198" t="s">
        <v>96</v>
      </c>
      <c r="L10" s="179"/>
      <c r="M10" s="417"/>
      <c r="N10" s="417"/>
      <c r="O10" s="417"/>
      <c r="P10" s="417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2"/>
      <c r="AI10" s="2"/>
      <c r="AJ10" s="2"/>
      <c r="AK10" s="2"/>
      <c r="AL10" s="2"/>
      <c r="AM10" s="2"/>
      <c r="AN10" s="2"/>
    </row>
    <row r="11" spans="1:40" ht="22.8" customHeight="1">
      <c r="A11" s="199"/>
      <c r="B11" s="534"/>
      <c r="C11" s="531"/>
      <c r="D11" s="196"/>
      <c r="E11" s="188" t="s">
        <v>97</v>
      </c>
      <c r="F11" s="534" t="s">
        <v>98</v>
      </c>
      <c r="G11" s="531"/>
      <c r="H11" s="535" t="s">
        <v>99</v>
      </c>
      <c r="I11" s="417"/>
      <c r="J11" s="200">
        <f>$J$9/$F$10*100</f>
        <v>5</v>
      </c>
      <c r="K11" s="198" t="s">
        <v>100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2"/>
      <c r="AI11" s="2"/>
      <c r="AJ11" s="2"/>
      <c r="AK11" s="2"/>
      <c r="AL11" s="2"/>
      <c r="AM11" s="2"/>
      <c r="AN11" s="2"/>
    </row>
    <row r="12" spans="1:40" ht="22.8" customHeight="1">
      <c r="A12" s="187" t="s">
        <v>101</v>
      </c>
      <c r="B12" s="536"/>
      <c r="C12" s="513"/>
      <c r="D12" s="201"/>
      <c r="E12" s="188" t="s">
        <v>102</v>
      </c>
      <c r="F12" s="529" t="s">
        <v>103</v>
      </c>
      <c r="G12" s="513"/>
      <c r="H12" s="535" t="s">
        <v>104</v>
      </c>
      <c r="I12" s="417"/>
      <c r="J12" s="202">
        <f>IF(B13=1,J9/2,J9)</f>
        <v>5.0000000000000001E-3</v>
      </c>
      <c r="K12" s="198" t="s">
        <v>105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2"/>
      <c r="AI12" s="2"/>
      <c r="AJ12" s="2"/>
      <c r="AK12" s="2"/>
      <c r="AL12" s="2"/>
      <c r="AM12" s="2"/>
      <c r="AN12" s="2"/>
    </row>
    <row r="13" spans="1:40" ht="24.6" customHeight="1">
      <c r="A13" s="203" t="s">
        <v>106</v>
      </c>
      <c r="B13" s="537">
        <v>1</v>
      </c>
      <c r="C13" s="538"/>
      <c r="D13" s="188"/>
      <c r="E13" s="188" t="s">
        <v>107</v>
      </c>
      <c r="F13" s="539">
        <v>25.1</v>
      </c>
      <c r="G13" s="540"/>
      <c r="H13" s="535" t="s">
        <v>108</v>
      </c>
      <c r="I13" s="417"/>
      <c r="J13" s="204">
        <v>27.1</v>
      </c>
      <c r="K13" s="195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2"/>
      <c r="AI13" s="2"/>
      <c r="AJ13" s="2"/>
      <c r="AK13" s="2"/>
      <c r="AL13" s="2"/>
      <c r="AM13" s="2"/>
      <c r="AN13" s="2"/>
    </row>
    <row r="14" spans="1:40" ht="22.8" customHeight="1">
      <c r="A14" s="541" t="s">
        <v>109</v>
      </c>
      <c r="B14" s="422"/>
      <c r="C14" s="205" t="s">
        <v>110</v>
      </c>
      <c r="D14" s="542" t="s">
        <v>111</v>
      </c>
      <c r="E14" s="420"/>
      <c r="F14" s="543">
        <v>46</v>
      </c>
      <c r="G14" s="538"/>
      <c r="H14" s="542" t="s">
        <v>112</v>
      </c>
      <c r="I14" s="420"/>
      <c r="J14" s="206">
        <v>47</v>
      </c>
      <c r="K14" s="195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2"/>
      <c r="AI14" s="2"/>
      <c r="AJ14" s="2"/>
      <c r="AK14" s="2"/>
      <c r="AL14" s="2"/>
      <c r="AM14" s="2"/>
      <c r="AN14" s="2"/>
    </row>
    <row r="15" spans="1:40" ht="43.8" customHeight="1">
      <c r="A15" s="544" t="s">
        <v>113</v>
      </c>
      <c r="B15" s="422"/>
      <c r="C15" s="422"/>
      <c r="D15" s="422"/>
      <c r="E15" s="422"/>
      <c r="F15" s="545"/>
      <c r="G15" s="546"/>
      <c r="H15" s="547"/>
      <c r="I15" s="422"/>
      <c r="J15" s="207"/>
      <c r="K15" s="208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2"/>
      <c r="AI15" s="2"/>
      <c r="AJ15" s="2"/>
      <c r="AK15" s="2"/>
      <c r="AL15" s="2"/>
      <c r="AM15" s="549"/>
      <c r="AN15" s="2"/>
    </row>
    <row r="16" spans="1:40">
      <c r="A16" s="548" t="s">
        <v>114</v>
      </c>
      <c r="B16" s="437"/>
      <c r="C16" s="437"/>
      <c r="D16" s="437"/>
      <c r="E16" s="437"/>
      <c r="F16" s="437"/>
      <c r="G16" s="437"/>
      <c r="H16" s="437"/>
      <c r="I16" s="437"/>
      <c r="J16" s="437"/>
      <c r="K16" s="498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2"/>
      <c r="AI16" s="2"/>
      <c r="AJ16" s="2"/>
      <c r="AK16" s="2"/>
      <c r="AL16" s="2"/>
      <c r="AM16" s="413"/>
      <c r="AN16" s="2"/>
    </row>
    <row r="17" spans="1:40">
      <c r="A17" s="501"/>
      <c r="B17" s="420"/>
      <c r="C17" s="420"/>
      <c r="D17" s="420"/>
      <c r="E17" s="420"/>
      <c r="F17" s="420"/>
      <c r="G17" s="420"/>
      <c r="H17" s="420"/>
      <c r="I17" s="420"/>
      <c r="J17" s="420"/>
      <c r="K17" s="502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2"/>
      <c r="AI17" s="2"/>
      <c r="AJ17" s="2"/>
      <c r="AK17" s="2"/>
      <c r="AL17" s="2"/>
      <c r="AM17" s="92"/>
      <c r="AN17" s="2"/>
    </row>
    <row r="18" spans="1:40" ht="24.6" customHeight="1">
      <c r="A18" s="550" t="s">
        <v>115</v>
      </c>
      <c r="B18" s="417"/>
      <c r="C18" s="417"/>
      <c r="D18" s="500"/>
      <c r="E18" s="209"/>
      <c r="F18" s="550" t="s">
        <v>116</v>
      </c>
      <c r="G18" s="500"/>
      <c r="H18" s="551" t="s">
        <v>117</v>
      </c>
      <c r="I18" s="422"/>
      <c r="J18" s="422"/>
      <c r="K18" s="552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2"/>
      <c r="AI18" s="2"/>
      <c r="AJ18" s="2"/>
      <c r="AK18" s="2"/>
      <c r="AL18" s="2"/>
      <c r="AM18" s="210"/>
      <c r="AN18" s="211"/>
    </row>
    <row r="19" spans="1:40" ht="23.4" customHeight="1">
      <c r="A19" s="212" t="s">
        <v>118</v>
      </c>
      <c r="B19" s="213" t="s">
        <v>119</v>
      </c>
      <c r="C19" s="213" t="s">
        <v>120</v>
      </c>
      <c r="D19" s="214" t="s">
        <v>121</v>
      </c>
      <c r="E19" s="215"/>
      <c r="F19" s="212" t="s">
        <v>122</v>
      </c>
      <c r="G19" s="214" t="s">
        <v>123</v>
      </c>
      <c r="H19" s="216" t="s">
        <v>124</v>
      </c>
      <c r="I19" s="217" t="s">
        <v>125</v>
      </c>
      <c r="J19" s="216" t="s">
        <v>126</v>
      </c>
      <c r="K19" s="218" t="s">
        <v>127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2"/>
      <c r="AI19" s="2"/>
      <c r="AJ19" s="2"/>
      <c r="AK19" s="2"/>
      <c r="AL19" s="2"/>
      <c r="AM19" s="210"/>
      <c r="AN19" s="211"/>
    </row>
    <row r="20" spans="1:40" ht="24.6" customHeight="1">
      <c r="A20" s="219">
        <v>0.2</v>
      </c>
      <c r="B20" s="220"/>
      <c r="C20" s="221">
        <f t="shared" ref="C20" si="0">F10*0.2</f>
        <v>4.0000000000000008E-2</v>
      </c>
      <c r="D20" s="221">
        <f>F10*0.2</f>
        <v>4.0000000000000008E-2</v>
      </c>
      <c r="E20" s="215"/>
      <c r="F20" s="221">
        <f>F10*0.2</f>
        <v>4.0000000000000008E-2</v>
      </c>
      <c r="G20" s="221">
        <f>F10*0.2</f>
        <v>4.0000000000000008E-2</v>
      </c>
      <c r="H20" s="222">
        <f>AVERAGE(C20:D20)</f>
        <v>4.0000000000000008E-2</v>
      </c>
      <c r="I20" s="223">
        <f>AVERAGE(F20:G20)</f>
        <v>4.0000000000000008E-2</v>
      </c>
      <c r="J20" s="222">
        <f>H20-I20</f>
        <v>0</v>
      </c>
      <c r="K20" s="224" t="str">
        <f>IF(ABS(J20)&gt;Q30,"RECHAZADO","ACEPTADO")</f>
        <v>ACEPTADO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2"/>
      <c r="AI20" s="2"/>
      <c r="AJ20" s="2"/>
      <c r="AK20" s="2"/>
      <c r="AL20" s="2"/>
      <c r="AM20" s="210"/>
      <c r="AN20" s="211"/>
    </row>
    <row r="21" spans="1:40" ht="24.6" customHeight="1">
      <c r="A21" s="219">
        <v>0.5</v>
      </c>
      <c r="B21" s="220"/>
      <c r="C21" s="221">
        <f>F10*0.5</f>
        <v>0.1</v>
      </c>
      <c r="D21" s="221">
        <f>F10*0.5</f>
        <v>0.1</v>
      </c>
      <c r="E21" s="215"/>
      <c r="F21" s="221">
        <f>F10*0.5</f>
        <v>0.1</v>
      </c>
      <c r="G21" s="221">
        <f>F10*0.5</f>
        <v>0.1</v>
      </c>
      <c r="H21" s="222">
        <f t="shared" ref="H21:H22" si="1">AVERAGE(C21:D21)</f>
        <v>0.1</v>
      </c>
      <c r="I21" s="223">
        <f t="shared" ref="I21:I22" si="2">AVERAGE(F21:G21)</f>
        <v>0.1</v>
      </c>
      <c r="J21" s="222">
        <f t="shared" ref="J21:J22" si="3">H21-I21</f>
        <v>0</v>
      </c>
      <c r="K21" s="224" t="str">
        <f t="shared" ref="K21:K22" si="4">IF(ABS(J21)&gt;Q31,"RECHAZADO","ACEPTADO")</f>
        <v>ACEPTADO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2"/>
      <c r="AI21" s="2"/>
      <c r="AJ21" s="2"/>
      <c r="AK21" s="2"/>
      <c r="AL21" s="2"/>
      <c r="AM21" s="210"/>
      <c r="AN21" s="211"/>
    </row>
    <row r="22" spans="1:40" ht="24.6" customHeight="1">
      <c r="A22" s="225">
        <v>1</v>
      </c>
      <c r="B22" s="226">
        <f>F10</f>
        <v>0.2</v>
      </c>
      <c r="C22" s="227">
        <f>F10*1</f>
        <v>0.2</v>
      </c>
      <c r="D22" s="227">
        <f>F10*1</f>
        <v>0.2</v>
      </c>
      <c r="E22" s="215"/>
      <c r="F22" s="227">
        <f>F10*1</f>
        <v>0.2</v>
      </c>
      <c r="G22" s="227">
        <f>F10*1</f>
        <v>0.2</v>
      </c>
      <c r="H22" s="228">
        <f t="shared" si="1"/>
        <v>0.2</v>
      </c>
      <c r="I22" s="229">
        <f t="shared" si="2"/>
        <v>0.2</v>
      </c>
      <c r="J22" s="228">
        <f t="shared" si="3"/>
        <v>0</v>
      </c>
      <c r="K22" s="230" t="str">
        <f t="shared" si="4"/>
        <v>ACEPTADO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2"/>
      <c r="AI22" s="2"/>
      <c r="AJ22" s="2"/>
      <c r="AK22" s="2"/>
      <c r="AL22" s="2"/>
      <c r="AM22" s="210"/>
      <c r="AN22" s="211"/>
    </row>
    <row r="23" spans="1:40">
      <c r="A23" s="231"/>
      <c r="B23" s="232"/>
      <c r="C23" s="232"/>
      <c r="D23" s="232"/>
      <c r="E23" s="232"/>
      <c r="F23" s="232"/>
      <c r="G23" s="232"/>
      <c r="H23" s="232"/>
      <c r="I23" s="232"/>
      <c r="J23" s="232"/>
      <c r="K23" s="233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2"/>
      <c r="AI23" s="2"/>
      <c r="AJ23" s="2"/>
      <c r="AK23" s="2"/>
      <c r="AL23" s="2"/>
      <c r="AM23" s="210"/>
      <c r="AN23" s="211"/>
    </row>
    <row r="24" spans="1:40" ht="31.8" customHeight="1">
      <c r="A24" s="553" t="s">
        <v>115</v>
      </c>
      <c r="B24" s="417"/>
      <c r="C24" s="417"/>
      <c r="D24" s="417"/>
      <c r="E24" s="417"/>
      <c r="F24" s="417"/>
      <c r="G24" s="234"/>
      <c r="H24" s="554" t="s">
        <v>116</v>
      </c>
      <c r="I24" s="417"/>
      <c r="J24" s="417"/>
      <c r="K24" s="417"/>
      <c r="L24" s="179"/>
      <c r="M24" s="179"/>
      <c r="N24" s="555" t="s">
        <v>128</v>
      </c>
      <c r="O24" s="420"/>
      <c r="P24" s="420"/>
      <c r="Q24" s="420"/>
      <c r="R24" s="420"/>
      <c r="S24" s="420"/>
      <c r="T24" s="420"/>
      <c r="U24" s="420"/>
      <c r="V24" s="420"/>
      <c r="W24" s="420"/>
      <c r="X24" s="420"/>
      <c r="Y24" s="420"/>
      <c r="Z24" s="420"/>
      <c r="AA24" s="420"/>
      <c r="AB24" s="420"/>
      <c r="AC24" s="420"/>
      <c r="AD24" s="420"/>
      <c r="AE24" s="420"/>
      <c r="AF24" s="234"/>
      <c r="AG24" s="234"/>
      <c r="AH24" s="235"/>
      <c r="AI24" s="235"/>
      <c r="AJ24" s="2"/>
      <c r="AK24" s="2"/>
      <c r="AL24" s="2"/>
      <c r="AM24" s="210"/>
      <c r="AN24" s="211"/>
    </row>
    <row r="25" spans="1:40" ht="21" customHeight="1">
      <c r="A25" s="420"/>
      <c r="B25" s="420"/>
      <c r="C25" s="420"/>
      <c r="D25" s="420"/>
      <c r="E25" s="420"/>
      <c r="F25" s="420"/>
      <c r="G25" s="234"/>
      <c r="H25" s="420"/>
      <c r="I25" s="420"/>
      <c r="J25" s="420"/>
      <c r="K25" s="420"/>
      <c r="L25" s="179"/>
      <c r="M25" s="179"/>
      <c r="N25" s="236" t="s">
        <v>129</v>
      </c>
      <c r="O25" s="236" t="s">
        <v>129</v>
      </c>
      <c r="P25" s="556" t="s">
        <v>130</v>
      </c>
      <c r="Q25" s="558" t="s">
        <v>131</v>
      </c>
      <c r="R25" s="556" t="s">
        <v>132</v>
      </c>
      <c r="S25" s="556" t="s">
        <v>133</v>
      </c>
      <c r="T25" s="237" t="s">
        <v>134</v>
      </c>
      <c r="U25" s="238" t="s">
        <v>135</v>
      </c>
      <c r="V25" s="238" t="s">
        <v>135</v>
      </c>
      <c r="W25" s="239" t="s">
        <v>135</v>
      </c>
      <c r="X25" s="239" t="s">
        <v>135</v>
      </c>
      <c r="Y25" s="238" t="s">
        <v>135</v>
      </c>
      <c r="Z25" s="239" t="s">
        <v>135</v>
      </c>
      <c r="AA25" s="238" t="s">
        <v>135</v>
      </c>
      <c r="AB25" s="239" t="s">
        <v>135</v>
      </c>
      <c r="AC25" s="240" t="s">
        <v>136</v>
      </c>
      <c r="AD25" s="238" t="s">
        <v>135</v>
      </c>
      <c r="AE25" s="241" t="s">
        <v>137</v>
      </c>
      <c r="AF25" s="234"/>
      <c r="AG25" s="234"/>
      <c r="AH25" s="242"/>
      <c r="AI25" s="242"/>
      <c r="AJ25" s="2"/>
      <c r="AK25" s="2"/>
      <c r="AL25" s="2"/>
      <c r="AM25" s="210"/>
      <c r="AN25" s="211"/>
    </row>
    <row r="26" spans="1:40" ht="28.2" customHeight="1">
      <c r="A26" s="243" t="s">
        <v>138</v>
      </c>
      <c r="B26" s="243" t="s">
        <v>139</v>
      </c>
      <c r="C26" s="244" t="s">
        <v>120</v>
      </c>
      <c r="D26" s="245" t="s">
        <v>121</v>
      </c>
      <c r="E26" s="244" t="s">
        <v>140</v>
      </c>
      <c r="F26" s="246" t="s">
        <v>141</v>
      </c>
      <c r="G26" s="247"/>
      <c r="H26" s="244" t="s">
        <v>142</v>
      </c>
      <c r="I26" s="245" t="s">
        <v>143</v>
      </c>
      <c r="J26" s="244" t="s">
        <v>144</v>
      </c>
      <c r="K26" s="246" t="s">
        <v>145</v>
      </c>
      <c r="L26" s="179"/>
      <c r="M26" s="179"/>
      <c r="N26" s="248" t="s">
        <v>146</v>
      </c>
      <c r="O26" s="248" t="s">
        <v>26</v>
      </c>
      <c r="P26" s="557"/>
      <c r="Q26" s="557"/>
      <c r="R26" s="557"/>
      <c r="S26" s="557"/>
      <c r="T26" s="249" t="s">
        <v>147</v>
      </c>
      <c r="U26" s="250" t="s">
        <v>148</v>
      </c>
      <c r="V26" s="250" t="s">
        <v>149</v>
      </c>
      <c r="W26" s="251" t="s">
        <v>150</v>
      </c>
      <c r="X26" s="251" t="s">
        <v>151</v>
      </c>
      <c r="Y26" s="250" t="s">
        <v>152</v>
      </c>
      <c r="Z26" s="251" t="s">
        <v>153</v>
      </c>
      <c r="AA26" s="250" t="s">
        <v>154</v>
      </c>
      <c r="AB26" s="251" t="s">
        <v>155</v>
      </c>
      <c r="AC26" s="252" t="s">
        <v>156</v>
      </c>
      <c r="AD26" s="250" t="s">
        <v>157</v>
      </c>
      <c r="AE26" s="253" t="s">
        <v>158</v>
      </c>
      <c r="AF26" s="234"/>
      <c r="AG26" s="234"/>
      <c r="AH26" s="254"/>
      <c r="AI26" s="254"/>
      <c r="AJ26" s="2"/>
      <c r="AK26" s="2"/>
      <c r="AL26" s="2"/>
      <c r="AM26" s="2"/>
      <c r="AN26" s="2"/>
    </row>
    <row r="27" spans="1:40" ht="31.8" customHeight="1">
      <c r="A27" s="255" t="str">
        <f>J10</f>
        <v>psi</v>
      </c>
      <c r="B27" s="255" t="str">
        <f t="shared" ref="B27:F27" si="5">A27</f>
        <v>psi</v>
      </c>
      <c r="C27" s="256" t="str">
        <f t="shared" si="5"/>
        <v>psi</v>
      </c>
      <c r="D27" s="256" t="str">
        <f t="shared" si="5"/>
        <v>psi</v>
      </c>
      <c r="E27" s="256" t="str">
        <f t="shared" si="5"/>
        <v>psi</v>
      </c>
      <c r="F27" s="256" t="str">
        <f t="shared" si="5"/>
        <v>psi</v>
      </c>
      <c r="G27" s="257"/>
      <c r="H27" s="258" t="str">
        <f>F27</f>
        <v>psi</v>
      </c>
      <c r="I27" s="258" t="str">
        <f t="shared" ref="I27:K27" si="6">H27</f>
        <v>psi</v>
      </c>
      <c r="J27" s="258" t="str">
        <f t="shared" si="6"/>
        <v>psi</v>
      </c>
      <c r="K27" s="258" t="str">
        <f t="shared" si="6"/>
        <v>psi</v>
      </c>
      <c r="L27" s="179"/>
      <c r="M27" s="179"/>
      <c r="N27" s="259" t="str">
        <f>K27</f>
        <v>psi</v>
      </c>
      <c r="O27" s="259" t="str">
        <f>N27</f>
        <v>psi</v>
      </c>
      <c r="P27" s="260" t="str">
        <f>N27</f>
        <v>psi</v>
      </c>
      <c r="Q27" s="260" t="str">
        <f>P27</f>
        <v>psi</v>
      </c>
      <c r="R27" s="261" t="s">
        <v>159</v>
      </c>
      <c r="S27" s="262" t="s">
        <v>159</v>
      </c>
      <c r="T27" s="263" t="str">
        <f>Q27</f>
        <v>psi</v>
      </c>
      <c r="U27" s="264" t="str">
        <f t="shared" ref="U27:X27" si="7">T27</f>
        <v>psi</v>
      </c>
      <c r="V27" s="264" t="str">
        <f t="shared" si="7"/>
        <v>psi</v>
      </c>
      <c r="W27" s="265" t="str">
        <f t="shared" si="7"/>
        <v>psi</v>
      </c>
      <c r="X27" s="265" t="str">
        <f t="shared" si="7"/>
        <v>psi</v>
      </c>
      <c r="Y27" s="266" t="s">
        <v>95</v>
      </c>
      <c r="Z27" s="267" t="str">
        <f t="shared" ref="Z27:AB27" si="8">Y27</f>
        <v>psi</v>
      </c>
      <c r="AA27" s="266" t="str">
        <f t="shared" si="8"/>
        <v>psi</v>
      </c>
      <c r="AB27" s="267" t="str">
        <f t="shared" si="8"/>
        <v>psi</v>
      </c>
      <c r="AC27" s="268" t="str">
        <f>Z27</f>
        <v>psi</v>
      </c>
      <c r="AD27" s="266" t="str">
        <f t="shared" ref="AD27:AE27" si="9">AC27</f>
        <v>psi</v>
      </c>
      <c r="AE27" s="269" t="str">
        <f t="shared" si="9"/>
        <v>psi</v>
      </c>
      <c r="AF27" s="234"/>
      <c r="AG27" s="234"/>
      <c r="AH27" s="92"/>
      <c r="AI27" s="92"/>
      <c r="AJ27" s="2"/>
      <c r="AK27" s="2"/>
      <c r="AL27" s="2"/>
      <c r="AM27" s="2"/>
      <c r="AN27" s="2"/>
    </row>
    <row r="28" spans="1:40" ht="24.6" customHeight="1">
      <c r="A28" s="270">
        <v>0.05</v>
      </c>
      <c r="B28" s="270">
        <v>0.05</v>
      </c>
      <c r="C28" s="271">
        <v>0.05</v>
      </c>
      <c r="D28" s="271">
        <v>0.05</v>
      </c>
      <c r="E28" s="271">
        <v>0.05</v>
      </c>
      <c r="F28" s="271">
        <v>0.05</v>
      </c>
      <c r="G28" s="272"/>
      <c r="H28" s="273">
        <v>4.8000000000000001E-2</v>
      </c>
      <c r="I28" s="273">
        <v>4.8000000000000001E-2</v>
      </c>
      <c r="J28" s="273">
        <v>4.8000000000000001E-2</v>
      </c>
      <c r="K28" s="273">
        <v>4.8000000000000001E-2</v>
      </c>
      <c r="L28" s="179"/>
      <c r="M28" s="274">
        <f>AVERAGE((C29:F29))</f>
        <v>0.1</v>
      </c>
      <c r="N28" s="275">
        <f>IF(C28=0,"",AVERAGE(C28:F28))</f>
        <v>0.05</v>
      </c>
      <c r="O28" s="275">
        <f>IF(H28=0,"",AVERAGE(H28:K28))</f>
        <v>4.8000000000000001E-2</v>
      </c>
      <c r="P28" s="276">
        <f>IF(N28="","",(N28)-O28)</f>
        <v>2.0000000000000018E-3</v>
      </c>
      <c r="Q28" s="277">
        <f>J9</f>
        <v>0.01</v>
      </c>
      <c r="R28" s="278" t="str">
        <f>IF(ABS(P28)&gt;Q28,"RECHAZADO","ACEPTADO")</f>
        <v>ACEPTADO</v>
      </c>
      <c r="S28" s="278" t="str">
        <f>IF(P28="","",IF(ABS(P28)+(AE28)&gt;Q28,"RECHAZADO","ACEPTADO"))</f>
        <v>RECHAZADO</v>
      </c>
      <c r="T28" s="279">
        <f t="shared" ref="T28:T38" si="10">STDEV(H28:K28)</f>
        <v>0</v>
      </c>
      <c r="U28" s="280">
        <f t="shared" ref="U28:U38" si="11">T28/SQRT(4)</f>
        <v>0</v>
      </c>
      <c r="V28" s="281">
        <f>IF(O28&lt;Patrones!$E$7,Patrones!$G$6,VLOOKUP(Calculos!O28,Patrones!$E$6:$H$26,3,TRUE))</f>
        <v>5.8000000000000003E-2</v>
      </c>
      <c r="W28" s="282">
        <f t="shared" ref="W28:W38" si="12">V28/2</f>
        <v>2.9000000000000001E-2</v>
      </c>
      <c r="X28" s="282">
        <f t="shared" ref="X28:X38" si="13">$J$12/SQRT(12)</f>
        <v>1.4433756729740645E-3</v>
      </c>
      <c r="Y28" s="281">
        <f>IF(O28&lt;Patrones!$E$7,Patrones!$F$6,VLOOKUP(Calculos!O28,Patrones!$E$6:$H$26,2,TRUE))</f>
        <v>0.1</v>
      </c>
      <c r="Z28" s="282">
        <f t="shared" ref="Z28:Z38" si="14">Y28/SQRT(3)</f>
        <v>5.7735026918962581E-2</v>
      </c>
      <c r="AA28" s="281">
        <f t="shared" ref="AA28:AA38" si="15">ABS(W45-Y45)</f>
        <v>0</v>
      </c>
      <c r="AB28" s="282">
        <f t="shared" ref="AB28:AB38" si="16">AA28/SQRT(12)</f>
        <v>0</v>
      </c>
      <c r="AC28" s="283">
        <f t="shared" ref="AC28:AC38" si="17">SQRT(W28^2+X28^2+Z28^2)</f>
        <v>6.4625201482600175E-2</v>
      </c>
      <c r="AD28" s="281">
        <f t="shared" ref="AD28:AD38" si="18">SQRT(U28^2+AC28^2+AB28^2)</f>
        <v>6.4625201482600175E-2</v>
      </c>
      <c r="AE28" s="284">
        <f t="shared" ref="AE28:AE38" si="19">AD28*2</f>
        <v>0.12925040296520035</v>
      </c>
      <c r="AF28" s="234"/>
      <c r="AG28" s="234"/>
      <c r="AH28" s="285"/>
      <c r="AI28" s="285"/>
      <c r="AJ28" s="2"/>
      <c r="AK28" s="2"/>
      <c r="AL28" s="2"/>
      <c r="AM28" s="2"/>
      <c r="AN28" s="2"/>
    </row>
    <row r="29" spans="1:40" ht="24.6" customHeight="1">
      <c r="A29" s="270">
        <v>0.1</v>
      </c>
      <c r="B29" s="270">
        <v>0.1</v>
      </c>
      <c r="C29" s="271">
        <v>0.1</v>
      </c>
      <c r="D29" s="271">
        <v>0.1</v>
      </c>
      <c r="E29" s="271">
        <v>0.1</v>
      </c>
      <c r="F29" s="271">
        <v>0.1</v>
      </c>
      <c r="G29" s="272"/>
      <c r="H29" s="273">
        <v>9.9000000000000005E-2</v>
      </c>
      <c r="I29" s="273">
        <v>9.9000000000000005E-2</v>
      </c>
      <c r="J29" s="273">
        <v>9.9000000000000005E-2</v>
      </c>
      <c r="K29" s="273">
        <v>9.9000000000000005E-2</v>
      </c>
      <c r="L29" s="179" t="s">
        <v>45</v>
      </c>
      <c r="M29" s="179"/>
      <c r="N29" s="275">
        <f t="shared" ref="N29:N38" si="20">IF(C29=0,"",AVERAGE(C29:F29))</f>
        <v>0.1</v>
      </c>
      <c r="O29" s="275">
        <f t="shared" ref="O29:O38" si="21">IF(H29=0,"",AVERAGE(H29:K29))</f>
        <v>9.9000000000000005E-2</v>
      </c>
      <c r="P29" s="276">
        <f t="shared" ref="P29:P38" si="22">IF(N29="","",(N29)-O29)</f>
        <v>1.0000000000000009E-3</v>
      </c>
      <c r="Q29" s="277">
        <f>Q28</f>
        <v>0.01</v>
      </c>
      <c r="R29" s="278" t="str">
        <f t="shared" ref="R29:R38" si="23">IF(ABS(P29)&gt;Q29,"RECHAZADO","ACEPTADO")</f>
        <v>ACEPTADO</v>
      </c>
      <c r="S29" s="278" t="str">
        <f t="shared" ref="S29:S38" si="24">IF(P29="","",IF(ABS(P29)+(AE29)&gt;Q29,"RECHAZADO","ACEPTADO"))</f>
        <v>RECHAZADO</v>
      </c>
      <c r="T29" s="279">
        <f t="shared" si="10"/>
        <v>0</v>
      </c>
      <c r="U29" s="280">
        <f t="shared" si="11"/>
        <v>0</v>
      </c>
      <c r="V29" s="281">
        <f>IF(O29&lt;Patrones!$E$7,Patrones!$G$6,VLOOKUP(Calculos!O29,Patrones!$E$6:$H$26,3,TRUE))</f>
        <v>5.8000000000000003E-2</v>
      </c>
      <c r="W29" s="282">
        <f t="shared" si="12"/>
        <v>2.9000000000000001E-2</v>
      </c>
      <c r="X29" s="282">
        <f t="shared" si="13"/>
        <v>1.4433756729740645E-3</v>
      </c>
      <c r="Y29" s="281">
        <f>IF(O29&lt;Patrones!$E$7,Patrones!$F$6,VLOOKUP(Calculos!O29,Patrones!$E$6:$H$26,2,TRUE))</f>
        <v>0.1</v>
      </c>
      <c r="Z29" s="282">
        <f t="shared" si="14"/>
        <v>5.7735026918962581E-2</v>
      </c>
      <c r="AA29" s="281">
        <f t="shared" si="15"/>
        <v>0</v>
      </c>
      <c r="AB29" s="282">
        <f t="shared" si="16"/>
        <v>0</v>
      </c>
      <c r="AC29" s="283">
        <f t="shared" si="17"/>
        <v>6.4625201482600175E-2</v>
      </c>
      <c r="AD29" s="281">
        <f t="shared" si="18"/>
        <v>6.4625201482600175E-2</v>
      </c>
      <c r="AE29" s="284">
        <f t="shared" si="19"/>
        <v>0.12925040296520035</v>
      </c>
      <c r="AF29" s="234"/>
      <c r="AG29" s="234"/>
      <c r="AH29" s="285"/>
      <c r="AI29" s="285"/>
      <c r="AJ29" s="2"/>
      <c r="AK29" s="2"/>
      <c r="AL29" s="2"/>
      <c r="AM29" s="2"/>
      <c r="AN29" s="2"/>
    </row>
    <row r="30" spans="1:40" ht="24.6" customHeight="1">
      <c r="A30" s="270">
        <v>0.15</v>
      </c>
      <c r="B30" s="270">
        <v>0.15</v>
      </c>
      <c r="C30" s="271">
        <v>0.15</v>
      </c>
      <c r="D30" s="271">
        <v>0.15</v>
      </c>
      <c r="E30" s="271">
        <v>0.15</v>
      </c>
      <c r="F30" s="271">
        <v>0.15</v>
      </c>
      <c r="G30" s="272"/>
      <c r="H30" s="273">
        <v>0.14899999999999999</v>
      </c>
      <c r="I30" s="273">
        <v>0.14899999999999999</v>
      </c>
      <c r="J30" s="273">
        <v>0.14899999999999999</v>
      </c>
      <c r="K30" s="273">
        <v>0.14899999999999999</v>
      </c>
      <c r="L30" s="179"/>
      <c r="M30" s="179"/>
      <c r="N30" s="275">
        <f t="shared" si="20"/>
        <v>0.15</v>
      </c>
      <c r="O30" s="275">
        <f t="shared" si="21"/>
        <v>0.14899999999999999</v>
      </c>
      <c r="P30" s="276">
        <f t="shared" si="22"/>
        <v>1.0000000000000009E-3</v>
      </c>
      <c r="Q30" s="277">
        <f t="shared" ref="Q30:Q38" si="25">Q29</f>
        <v>0.01</v>
      </c>
      <c r="R30" s="278" t="str">
        <f t="shared" si="23"/>
        <v>ACEPTADO</v>
      </c>
      <c r="S30" s="278" t="str">
        <f t="shared" si="24"/>
        <v>RECHAZADO</v>
      </c>
      <c r="T30" s="279">
        <f t="shared" si="10"/>
        <v>0</v>
      </c>
      <c r="U30" s="280">
        <f t="shared" si="11"/>
        <v>0</v>
      </c>
      <c r="V30" s="281">
        <f>IF(O30&lt;Patrones!$E$7,Patrones!$G$6,VLOOKUP(Calculos!O30,Patrones!$E$6:$H$26,3,TRUE))</f>
        <v>5.8000000000000003E-2</v>
      </c>
      <c r="W30" s="282">
        <f t="shared" si="12"/>
        <v>2.9000000000000001E-2</v>
      </c>
      <c r="X30" s="282">
        <f t="shared" si="13"/>
        <v>1.4433756729740645E-3</v>
      </c>
      <c r="Y30" s="281">
        <f>IF(O30&lt;Patrones!$E$7,Patrones!$F$6,VLOOKUP(Calculos!O30,Patrones!$E$6:$H$26,2,TRUE))</f>
        <v>0.1</v>
      </c>
      <c r="Z30" s="282">
        <f t="shared" si="14"/>
        <v>5.7735026918962581E-2</v>
      </c>
      <c r="AA30" s="281">
        <f t="shared" si="15"/>
        <v>0</v>
      </c>
      <c r="AB30" s="282">
        <f t="shared" si="16"/>
        <v>0</v>
      </c>
      <c r="AC30" s="283">
        <f t="shared" si="17"/>
        <v>6.4625201482600175E-2</v>
      </c>
      <c r="AD30" s="281">
        <f t="shared" si="18"/>
        <v>6.4625201482600175E-2</v>
      </c>
      <c r="AE30" s="284">
        <f t="shared" si="19"/>
        <v>0.12925040296520035</v>
      </c>
      <c r="AF30" s="234"/>
      <c r="AG30" s="234"/>
      <c r="AH30" s="285"/>
      <c r="AI30" s="285"/>
      <c r="AJ30" s="2"/>
      <c r="AK30" s="2"/>
      <c r="AL30" s="2"/>
      <c r="AM30" s="2"/>
      <c r="AN30" s="2"/>
    </row>
    <row r="31" spans="1:40" ht="24.6" customHeight="1">
      <c r="A31" s="270"/>
      <c r="B31" s="270"/>
      <c r="C31" s="271"/>
      <c r="D31" s="271"/>
      <c r="E31" s="271"/>
      <c r="F31" s="271"/>
      <c r="G31" s="272"/>
      <c r="H31" s="273"/>
      <c r="I31" s="273"/>
      <c r="J31" s="273"/>
      <c r="K31" s="273"/>
      <c r="L31" s="179"/>
      <c r="M31" s="179"/>
      <c r="N31" s="275" t="str">
        <f t="shared" si="20"/>
        <v/>
      </c>
      <c r="O31" s="275" t="str">
        <f t="shared" si="21"/>
        <v/>
      </c>
      <c r="P31" s="276" t="str">
        <f t="shared" si="22"/>
        <v/>
      </c>
      <c r="Q31" s="277">
        <f t="shared" si="25"/>
        <v>0.01</v>
      </c>
      <c r="R31" s="278" t="e">
        <f t="shared" si="23"/>
        <v>#VALUE!</v>
      </c>
      <c r="S31" s="278" t="str">
        <f t="shared" si="24"/>
        <v/>
      </c>
      <c r="T31" s="279" t="e">
        <f t="shared" si="10"/>
        <v>#DIV/0!</v>
      </c>
      <c r="U31" s="280" t="e">
        <f t="shared" si="11"/>
        <v>#DIV/0!</v>
      </c>
      <c r="V31" s="281" t="e">
        <f>IF(O31&lt;Patrones!$E$7,Patrones!$G$6,VLOOKUP(Calculos!O31,Patrones!$E$6:$H$26,3,TRUE))</f>
        <v>#N/A</v>
      </c>
      <c r="W31" s="282" t="e">
        <f t="shared" si="12"/>
        <v>#N/A</v>
      </c>
      <c r="X31" s="282">
        <f t="shared" si="13"/>
        <v>1.4433756729740645E-3</v>
      </c>
      <c r="Y31" s="281" t="e">
        <f>IF(O31&lt;Patrones!$E$7,Patrones!$F$6,VLOOKUP(Calculos!O31,Patrones!$E$6:$H$26,2,TRUE))</f>
        <v>#N/A</v>
      </c>
      <c r="Z31" s="282" t="e">
        <f t="shared" si="14"/>
        <v>#N/A</v>
      </c>
      <c r="AA31" s="281" t="e">
        <f t="shared" si="15"/>
        <v>#DIV/0!</v>
      </c>
      <c r="AB31" s="282" t="e">
        <f t="shared" si="16"/>
        <v>#DIV/0!</v>
      </c>
      <c r="AC31" s="283" t="e">
        <f t="shared" si="17"/>
        <v>#N/A</v>
      </c>
      <c r="AD31" s="281" t="e">
        <f t="shared" si="18"/>
        <v>#DIV/0!</v>
      </c>
      <c r="AE31" s="284" t="e">
        <f t="shared" si="19"/>
        <v>#DIV/0!</v>
      </c>
      <c r="AF31" s="234"/>
      <c r="AG31" s="234"/>
      <c r="AH31" s="285"/>
      <c r="AI31" s="285"/>
      <c r="AJ31" s="2"/>
      <c r="AK31" s="2"/>
      <c r="AL31" s="2"/>
      <c r="AM31" s="2"/>
      <c r="AN31" s="2"/>
    </row>
    <row r="32" spans="1:40" ht="24.6" customHeight="1">
      <c r="A32" s="270"/>
      <c r="B32" s="270"/>
      <c r="C32" s="271"/>
      <c r="D32" s="271"/>
      <c r="E32" s="271"/>
      <c r="F32" s="271"/>
      <c r="G32" s="272"/>
      <c r="H32" s="273"/>
      <c r="I32" s="273"/>
      <c r="J32" s="273"/>
      <c r="K32" s="273"/>
      <c r="L32" s="179"/>
      <c r="M32" s="179"/>
      <c r="N32" s="275" t="str">
        <f t="shared" si="20"/>
        <v/>
      </c>
      <c r="O32" s="275" t="str">
        <f t="shared" si="21"/>
        <v/>
      </c>
      <c r="P32" s="276" t="str">
        <f t="shared" si="22"/>
        <v/>
      </c>
      <c r="Q32" s="277">
        <f t="shared" si="25"/>
        <v>0.01</v>
      </c>
      <c r="R32" s="278" t="e">
        <f t="shared" si="23"/>
        <v>#VALUE!</v>
      </c>
      <c r="S32" s="278" t="str">
        <f t="shared" si="24"/>
        <v/>
      </c>
      <c r="T32" s="279" t="e">
        <f t="shared" si="10"/>
        <v>#DIV/0!</v>
      </c>
      <c r="U32" s="280" t="e">
        <f t="shared" si="11"/>
        <v>#DIV/0!</v>
      </c>
      <c r="V32" s="281" t="e">
        <f>IF(O32&lt;Patrones!$E$7,Patrones!$G$6,VLOOKUP(Calculos!O32,Patrones!$E$6:$H$26,3,TRUE))</f>
        <v>#N/A</v>
      </c>
      <c r="W32" s="282" t="e">
        <f t="shared" si="12"/>
        <v>#N/A</v>
      </c>
      <c r="X32" s="282">
        <f t="shared" si="13"/>
        <v>1.4433756729740645E-3</v>
      </c>
      <c r="Y32" s="281" t="e">
        <f>IF(O32&lt;Patrones!$E$7,Patrones!$F$6,VLOOKUP(Calculos!O32,Patrones!$E$6:$H$26,2,TRUE))</f>
        <v>#N/A</v>
      </c>
      <c r="Z32" s="282" t="e">
        <f t="shared" si="14"/>
        <v>#N/A</v>
      </c>
      <c r="AA32" s="281" t="e">
        <f t="shared" si="15"/>
        <v>#DIV/0!</v>
      </c>
      <c r="AB32" s="282" t="e">
        <f t="shared" si="16"/>
        <v>#DIV/0!</v>
      </c>
      <c r="AC32" s="283" t="e">
        <f t="shared" si="17"/>
        <v>#N/A</v>
      </c>
      <c r="AD32" s="281" t="e">
        <f t="shared" si="18"/>
        <v>#DIV/0!</v>
      </c>
      <c r="AE32" s="284" t="e">
        <f t="shared" si="19"/>
        <v>#DIV/0!</v>
      </c>
      <c r="AF32" s="234"/>
      <c r="AG32" s="234"/>
      <c r="AH32" s="285"/>
      <c r="AI32" s="285"/>
      <c r="AJ32" s="2"/>
      <c r="AK32" s="2"/>
      <c r="AL32" s="2"/>
      <c r="AM32" s="2"/>
      <c r="AN32" s="2"/>
    </row>
    <row r="33" spans="1:40" ht="24.6" customHeight="1">
      <c r="A33" s="270"/>
      <c r="B33" s="270"/>
      <c r="C33" s="271"/>
      <c r="D33" s="271"/>
      <c r="E33" s="271"/>
      <c r="F33" s="271"/>
      <c r="G33" s="272"/>
      <c r="H33" s="273"/>
      <c r="I33" s="273"/>
      <c r="J33" s="273"/>
      <c r="K33" s="273"/>
      <c r="L33" s="179"/>
      <c r="M33" s="179"/>
      <c r="N33" s="275" t="str">
        <f t="shared" si="20"/>
        <v/>
      </c>
      <c r="O33" s="275" t="str">
        <f t="shared" si="21"/>
        <v/>
      </c>
      <c r="P33" s="276" t="str">
        <f t="shared" si="22"/>
        <v/>
      </c>
      <c r="Q33" s="277">
        <f t="shared" si="25"/>
        <v>0.01</v>
      </c>
      <c r="R33" s="278" t="e">
        <f t="shared" si="23"/>
        <v>#VALUE!</v>
      </c>
      <c r="S33" s="278" t="str">
        <f t="shared" si="24"/>
        <v/>
      </c>
      <c r="T33" s="279" t="e">
        <f t="shared" si="10"/>
        <v>#DIV/0!</v>
      </c>
      <c r="U33" s="280" t="e">
        <f t="shared" si="11"/>
        <v>#DIV/0!</v>
      </c>
      <c r="V33" s="281" t="e">
        <f>IF(O33&lt;Patrones!$E$7,Patrones!$G$6,VLOOKUP(Calculos!O33,Patrones!$E$6:$H$26,3,TRUE))</f>
        <v>#N/A</v>
      </c>
      <c r="W33" s="282" t="e">
        <f t="shared" si="12"/>
        <v>#N/A</v>
      </c>
      <c r="X33" s="282">
        <f t="shared" si="13"/>
        <v>1.4433756729740645E-3</v>
      </c>
      <c r="Y33" s="281" t="e">
        <f>IF(O33&lt;Patrones!$E$7,Patrones!$F$6,VLOOKUP(Calculos!O33,Patrones!$E$6:$H$26,2,TRUE))</f>
        <v>#N/A</v>
      </c>
      <c r="Z33" s="282" t="e">
        <f t="shared" si="14"/>
        <v>#N/A</v>
      </c>
      <c r="AA33" s="281" t="e">
        <f t="shared" si="15"/>
        <v>#DIV/0!</v>
      </c>
      <c r="AB33" s="282" t="e">
        <f t="shared" si="16"/>
        <v>#DIV/0!</v>
      </c>
      <c r="AC33" s="283" t="e">
        <f t="shared" si="17"/>
        <v>#N/A</v>
      </c>
      <c r="AD33" s="281" t="e">
        <f t="shared" si="18"/>
        <v>#DIV/0!</v>
      </c>
      <c r="AE33" s="284" t="e">
        <f t="shared" si="19"/>
        <v>#DIV/0!</v>
      </c>
      <c r="AF33" s="234"/>
      <c r="AG33" s="234"/>
      <c r="AH33" s="285"/>
      <c r="AI33" s="285"/>
      <c r="AJ33" s="2"/>
      <c r="AK33" s="2"/>
      <c r="AL33" s="2"/>
      <c r="AM33" s="2"/>
      <c r="AN33" s="2"/>
    </row>
    <row r="34" spans="1:40" ht="24.6" customHeight="1">
      <c r="A34" s="286"/>
      <c r="B34" s="286"/>
      <c r="C34" s="287"/>
      <c r="D34" s="287"/>
      <c r="E34" s="287"/>
      <c r="F34" s="287"/>
      <c r="G34" s="272"/>
      <c r="H34" s="273"/>
      <c r="I34" s="273"/>
      <c r="J34" s="273"/>
      <c r="K34" s="273"/>
      <c r="L34" s="179"/>
      <c r="M34" s="179"/>
      <c r="N34" s="275" t="str">
        <f t="shared" si="20"/>
        <v/>
      </c>
      <c r="O34" s="275" t="str">
        <f t="shared" si="21"/>
        <v/>
      </c>
      <c r="P34" s="276" t="str">
        <f t="shared" si="22"/>
        <v/>
      </c>
      <c r="Q34" s="277">
        <f t="shared" si="25"/>
        <v>0.01</v>
      </c>
      <c r="R34" s="278" t="e">
        <f t="shared" si="23"/>
        <v>#VALUE!</v>
      </c>
      <c r="S34" s="278" t="str">
        <f t="shared" si="24"/>
        <v/>
      </c>
      <c r="T34" s="279" t="e">
        <f t="shared" si="10"/>
        <v>#DIV/0!</v>
      </c>
      <c r="U34" s="280" t="e">
        <f t="shared" si="11"/>
        <v>#DIV/0!</v>
      </c>
      <c r="V34" s="281" t="e">
        <f>IF(O34&lt;Patrones!$E$7,Patrones!$G$6,VLOOKUP(Calculos!O34,Patrones!$E$6:$H$26,3,TRUE))</f>
        <v>#N/A</v>
      </c>
      <c r="W34" s="282" t="e">
        <f t="shared" si="12"/>
        <v>#N/A</v>
      </c>
      <c r="X34" s="282">
        <f t="shared" si="13"/>
        <v>1.4433756729740645E-3</v>
      </c>
      <c r="Y34" s="281" t="e">
        <f>IF(O34&lt;Patrones!$E$7,Patrones!$F$6,VLOOKUP(Calculos!O34,Patrones!$E$6:$H$26,2,TRUE))</f>
        <v>#N/A</v>
      </c>
      <c r="Z34" s="282" t="e">
        <f t="shared" si="14"/>
        <v>#N/A</v>
      </c>
      <c r="AA34" s="281" t="e">
        <f t="shared" si="15"/>
        <v>#DIV/0!</v>
      </c>
      <c r="AB34" s="282" t="e">
        <f t="shared" si="16"/>
        <v>#DIV/0!</v>
      </c>
      <c r="AC34" s="283" t="e">
        <f t="shared" si="17"/>
        <v>#N/A</v>
      </c>
      <c r="AD34" s="281" t="e">
        <f t="shared" si="18"/>
        <v>#DIV/0!</v>
      </c>
      <c r="AE34" s="284" t="e">
        <f t="shared" si="19"/>
        <v>#DIV/0!</v>
      </c>
      <c r="AF34" s="234"/>
      <c r="AG34" s="234"/>
      <c r="AH34" s="285"/>
      <c r="AI34" s="285"/>
      <c r="AJ34" s="2"/>
      <c r="AK34" s="2"/>
      <c r="AL34" s="2"/>
      <c r="AM34" s="2"/>
      <c r="AN34" s="2"/>
    </row>
    <row r="35" spans="1:40" ht="24.6" customHeight="1">
      <c r="A35" s="288"/>
      <c r="B35" s="288"/>
      <c r="C35" s="289"/>
      <c r="D35" s="289"/>
      <c r="E35" s="289"/>
      <c r="F35" s="289"/>
      <c r="G35" s="272"/>
      <c r="H35" s="290"/>
      <c r="I35" s="290"/>
      <c r="J35" s="290"/>
      <c r="K35" s="290"/>
      <c r="L35" s="179"/>
      <c r="M35" s="179"/>
      <c r="N35" s="275" t="str">
        <f t="shared" si="20"/>
        <v/>
      </c>
      <c r="O35" s="275" t="str">
        <f t="shared" si="21"/>
        <v/>
      </c>
      <c r="P35" s="276" t="str">
        <f t="shared" si="22"/>
        <v/>
      </c>
      <c r="Q35" s="291">
        <f t="shared" si="25"/>
        <v>0.01</v>
      </c>
      <c r="R35" s="292" t="e">
        <f t="shared" si="23"/>
        <v>#VALUE!</v>
      </c>
      <c r="S35" s="278" t="str">
        <f t="shared" si="24"/>
        <v/>
      </c>
      <c r="T35" s="293" t="e">
        <f t="shared" si="10"/>
        <v>#DIV/0!</v>
      </c>
      <c r="U35" s="280" t="e">
        <f t="shared" si="11"/>
        <v>#DIV/0!</v>
      </c>
      <c r="V35" s="281" t="e">
        <f>IF(O35&lt;Patrones!$E$7,Patrones!$G$6,VLOOKUP(Calculos!O35,Patrones!$E$6:$H$26,3,TRUE))</f>
        <v>#N/A</v>
      </c>
      <c r="W35" s="282" t="e">
        <f t="shared" si="12"/>
        <v>#N/A</v>
      </c>
      <c r="X35" s="282">
        <f t="shared" si="13"/>
        <v>1.4433756729740645E-3</v>
      </c>
      <c r="Y35" s="281" t="e">
        <f>IF(O35&lt;Patrones!$E$7,Patrones!$F$6,VLOOKUP(Calculos!O35,Patrones!$E$6:$H$26,2,TRUE))</f>
        <v>#N/A</v>
      </c>
      <c r="Z35" s="282" t="e">
        <f t="shared" si="14"/>
        <v>#N/A</v>
      </c>
      <c r="AA35" s="281" t="e">
        <f t="shared" si="15"/>
        <v>#DIV/0!</v>
      </c>
      <c r="AB35" s="282" t="e">
        <f t="shared" si="16"/>
        <v>#DIV/0!</v>
      </c>
      <c r="AC35" s="283" t="e">
        <f t="shared" si="17"/>
        <v>#N/A</v>
      </c>
      <c r="AD35" s="281" t="e">
        <f t="shared" si="18"/>
        <v>#DIV/0!</v>
      </c>
      <c r="AE35" s="284" t="e">
        <f t="shared" si="19"/>
        <v>#DIV/0!</v>
      </c>
      <c r="AF35" s="234"/>
      <c r="AG35" s="234"/>
      <c r="AH35" s="285"/>
      <c r="AI35" s="285"/>
      <c r="AJ35" s="2"/>
      <c r="AK35" s="2"/>
      <c r="AL35" s="2"/>
      <c r="AM35" s="2"/>
      <c r="AN35" s="2"/>
    </row>
    <row r="36" spans="1:40" ht="24.6" customHeight="1">
      <c r="A36" s="294"/>
      <c r="B36" s="294"/>
      <c r="C36" s="295"/>
      <c r="D36" s="295"/>
      <c r="E36" s="295"/>
      <c r="F36" s="295"/>
      <c r="G36" s="195"/>
      <c r="H36" s="296"/>
      <c r="I36" s="296"/>
      <c r="J36" s="296"/>
      <c r="K36" s="296"/>
      <c r="L36" s="179"/>
      <c r="M36" s="179"/>
      <c r="N36" s="275" t="str">
        <f t="shared" si="20"/>
        <v/>
      </c>
      <c r="O36" s="275" t="str">
        <f t="shared" si="21"/>
        <v/>
      </c>
      <c r="P36" s="276" t="str">
        <f t="shared" si="22"/>
        <v/>
      </c>
      <c r="Q36" s="291">
        <f t="shared" si="25"/>
        <v>0.01</v>
      </c>
      <c r="R36" s="292" t="e">
        <f t="shared" si="23"/>
        <v>#VALUE!</v>
      </c>
      <c r="S36" s="278" t="str">
        <f t="shared" si="24"/>
        <v/>
      </c>
      <c r="T36" s="293" t="e">
        <f t="shared" si="10"/>
        <v>#DIV/0!</v>
      </c>
      <c r="U36" s="280" t="e">
        <f t="shared" si="11"/>
        <v>#DIV/0!</v>
      </c>
      <c r="V36" s="281" t="e">
        <f>IF(O36&lt;Patrones!$E$7,Patrones!$G$6,VLOOKUP(Calculos!O36,Patrones!$E$6:$H$26,3,TRUE))</f>
        <v>#N/A</v>
      </c>
      <c r="W36" s="282" t="e">
        <f t="shared" si="12"/>
        <v>#N/A</v>
      </c>
      <c r="X36" s="282">
        <f t="shared" si="13"/>
        <v>1.4433756729740645E-3</v>
      </c>
      <c r="Y36" s="281" t="e">
        <f>IF(O36&lt;Patrones!$E$7,Patrones!$F$6,VLOOKUP(Calculos!O36,Patrones!$E$6:$H$26,2,TRUE))</f>
        <v>#N/A</v>
      </c>
      <c r="Z36" s="282" t="e">
        <f t="shared" si="14"/>
        <v>#N/A</v>
      </c>
      <c r="AA36" s="281" t="e">
        <f t="shared" si="15"/>
        <v>#DIV/0!</v>
      </c>
      <c r="AB36" s="282" t="e">
        <f t="shared" si="16"/>
        <v>#DIV/0!</v>
      </c>
      <c r="AC36" s="283" t="e">
        <f t="shared" si="17"/>
        <v>#N/A</v>
      </c>
      <c r="AD36" s="281" t="e">
        <f t="shared" si="18"/>
        <v>#DIV/0!</v>
      </c>
      <c r="AE36" s="284" t="e">
        <f t="shared" si="19"/>
        <v>#DIV/0!</v>
      </c>
      <c r="AF36" s="234"/>
      <c r="AG36" s="234"/>
      <c r="AH36" s="2"/>
      <c r="AI36" s="2"/>
      <c r="AJ36" s="2"/>
      <c r="AK36" s="2"/>
      <c r="AL36" s="2"/>
      <c r="AM36" s="2"/>
      <c r="AN36" s="2"/>
    </row>
    <row r="37" spans="1:40" ht="24.6" customHeight="1">
      <c r="A37" s="294"/>
      <c r="B37" s="294"/>
      <c r="C37" s="295"/>
      <c r="D37" s="295"/>
      <c r="E37" s="295"/>
      <c r="F37" s="295"/>
      <c r="G37" s="195"/>
      <c r="H37" s="296"/>
      <c r="I37" s="296"/>
      <c r="J37" s="296"/>
      <c r="K37" s="296"/>
      <c r="L37" s="179"/>
      <c r="M37" s="179"/>
      <c r="N37" s="275" t="str">
        <f t="shared" si="20"/>
        <v/>
      </c>
      <c r="O37" s="275" t="str">
        <f t="shared" si="21"/>
        <v/>
      </c>
      <c r="P37" s="276" t="str">
        <f t="shared" si="22"/>
        <v/>
      </c>
      <c r="Q37" s="291">
        <f t="shared" si="25"/>
        <v>0.01</v>
      </c>
      <c r="R37" s="292" t="e">
        <f t="shared" si="23"/>
        <v>#VALUE!</v>
      </c>
      <c r="S37" s="278" t="str">
        <f t="shared" si="24"/>
        <v/>
      </c>
      <c r="T37" s="293" t="e">
        <f t="shared" si="10"/>
        <v>#DIV/0!</v>
      </c>
      <c r="U37" s="280" t="e">
        <f t="shared" si="11"/>
        <v>#DIV/0!</v>
      </c>
      <c r="V37" s="281" t="e">
        <f>IF(O37&lt;Patrones!$E$7,Patrones!$G$6,VLOOKUP(Calculos!O37,Patrones!$E$6:$H$26,3,TRUE))</f>
        <v>#N/A</v>
      </c>
      <c r="W37" s="282" t="e">
        <f t="shared" si="12"/>
        <v>#N/A</v>
      </c>
      <c r="X37" s="282">
        <f t="shared" si="13"/>
        <v>1.4433756729740645E-3</v>
      </c>
      <c r="Y37" s="281" t="e">
        <f>IF(O37&lt;Patrones!$E$7,Patrones!$F$6,VLOOKUP(Calculos!O37,Patrones!$E$6:$H$26,2,TRUE))</f>
        <v>#N/A</v>
      </c>
      <c r="Z37" s="282" t="e">
        <f t="shared" si="14"/>
        <v>#N/A</v>
      </c>
      <c r="AA37" s="281" t="e">
        <f t="shared" si="15"/>
        <v>#DIV/0!</v>
      </c>
      <c r="AB37" s="282" t="e">
        <f t="shared" si="16"/>
        <v>#DIV/0!</v>
      </c>
      <c r="AC37" s="283" t="e">
        <f t="shared" si="17"/>
        <v>#N/A</v>
      </c>
      <c r="AD37" s="281" t="e">
        <f t="shared" si="18"/>
        <v>#DIV/0!</v>
      </c>
      <c r="AE37" s="284" t="e">
        <f t="shared" si="19"/>
        <v>#DIV/0!</v>
      </c>
      <c r="AF37" s="234"/>
      <c r="AG37" s="234"/>
      <c r="AH37" s="2"/>
      <c r="AI37" s="2"/>
      <c r="AJ37" s="2"/>
      <c r="AK37" s="2"/>
      <c r="AL37" s="2"/>
      <c r="AM37" s="2"/>
      <c r="AN37" s="2"/>
    </row>
    <row r="38" spans="1:40" ht="24.6" customHeight="1">
      <c r="A38" s="294"/>
      <c r="B38" s="294"/>
      <c r="C38" s="295"/>
      <c r="D38" s="295"/>
      <c r="E38" s="295"/>
      <c r="F38" s="295"/>
      <c r="G38" s="234"/>
      <c r="H38" s="297"/>
      <c r="I38" s="297"/>
      <c r="J38" s="297"/>
      <c r="K38" s="297"/>
      <c r="L38" s="234"/>
      <c r="M38" s="234"/>
      <c r="N38" s="275" t="str">
        <f t="shared" si="20"/>
        <v/>
      </c>
      <c r="O38" s="275" t="str">
        <f t="shared" si="21"/>
        <v/>
      </c>
      <c r="P38" s="276" t="str">
        <f t="shared" si="22"/>
        <v/>
      </c>
      <c r="Q38" s="291">
        <f t="shared" si="25"/>
        <v>0.01</v>
      </c>
      <c r="R38" s="292" t="e">
        <f t="shared" si="23"/>
        <v>#VALUE!</v>
      </c>
      <c r="S38" s="278" t="str">
        <f t="shared" si="24"/>
        <v/>
      </c>
      <c r="T38" s="293" t="e">
        <f t="shared" si="10"/>
        <v>#DIV/0!</v>
      </c>
      <c r="U38" s="280" t="e">
        <f t="shared" si="11"/>
        <v>#DIV/0!</v>
      </c>
      <c r="V38" s="281" t="e">
        <f>IF(O38&lt;Patrones!$E$7,Patrones!$G$6,VLOOKUP(Calculos!O38,Patrones!$E$6:$H$26,3,TRUE))</f>
        <v>#N/A</v>
      </c>
      <c r="W38" s="282" t="e">
        <f t="shared" si="12"/>
        <v>#N/A</v>
      </c>
      <c r="X38" s="282">
        <f t="shared" si="13"/>
        <v>1.4433756729740645E-3</v>
      </c>
      <c r="Y38" s="281" t="e">
        <f>IF(O38&lt;Patrones!$E$7,Patrones!$F$6,VLOOKUP(Calculos!O38,Patrones!$E$6:$H$26,2,TRUE))</f>
        <v>#N/A</v>
      </c>
      <c r="Z38" s="282" t="e">
        <f t="shared" si="14"/>
        <v>#N/A</v>
      </c>
      <c r="AA38" s="281">
        <f t="shared" si="15"/>
        <v>0</v>
      </c>
      <c r="AB38" s="282">
        <f t="shared" si="16"/>
        <v>0</v>
      </c>
      <c r="AC38" s="283" t="e">
        <f t="shared" si="17"/>
        <v>#N/A</v>
      </c>
      <c r="AD38" s="281" t="e">
        <f t="shared" si="18"/>
        <v>#DIV/0!</v>
      </c>
      <c r="AE38" s="284" t="e">
        <f t="shared" si="19"/>
        <v>#DIV/0!</v>
      </c>
      <c r="AF38" s="234"/>
      <c r="AG38" s="234"/>
      <c r="AH38" s="2"/>
      <c r="AI38" s="2"/>
      <c r="AJ38" s="2"/>
      <c r="AK38" s="2"/>
      <c r="AL38" s="2"/>
      <c r="AM38" s="2"/>
      <c r="AN38" s="2"/>
    </row>
    <row r="39" spans="1:40">
      <c r="A39" s="234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"/>
      <c r="AI39" s="2"/>
      <c r="AJ39" s="2"/>
      <c r="AK39" s="2"/>
      <c r="AL39" s="2"/>
      <c r="AM39" s="2"/>
      <c r="AN39" s="2"/>
    </row>
    <row r="40" spans="1:40">
      <c r="A40" s="234"/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"/>
      <c r="AI40" s="2"/>
      <c r="AJ40" s="2"/>
      <c r="AK40" s="2"/>
      <c r="AL40" s="2"/>
      <c r="AM40" s="2"/>
      <c r="AN40" s="2"/>
    </row>
    <row r="41" spans="1:40">
      <c r="A41" s="234"/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"/>
      <c r="AI41" s="2"/>
      <c r="AJ41" s="2"/>
      <c r="AK41" s="2"/>
      <c r="AL41" s="2"/>
      <c r="AM41" s="2"/>
      <c r="AN41" s="2"/>
    </row>
    <row r="42" spans="1:40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2"/>
      <c r="AI42" s="2"/>
      <c r="AJ42" s="2"/>
      <c r="AK42" s="2"/>
      <c r="AL42" s="2"/>
      <c r="AM42" s="2"/>
      <c r="AN42" s="2"/>
    </row>
    <row r="43" spans="1:40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2"/>
      <c r="AI43" s="2"/>
      <c r="AJ43" s="2"/>
      <c r="AK43" s="2"/>
      <c r="AL43" s="2"/>
      <c r="AM43" s="2"/>
      <c r="AN43" s="2"/>
    </row>
    <row r="44" spans="1:4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98" t="s">
        <v>160</v>
      </c>
      <c r="W45" s="299">
        <f t="shared" ref="W45:W54" si="26">AVERAGE(H28,J28)</f>
        <v>4.8000000000000001E-2</v>
      </c>
      <c r="X45" s="298" t="s">
        <v>161</v>
      </c>
      <c r="Y45" s="299">
        <f t="shared" ref="Y45:Y54" si="27">AVERAGE(I28,K28)</f>
        <v>4.8000000000000001E-2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98"/>
      <c r="W46" s="299">
        <f t="shared" si="26"/>
        <v>9.9000000000000005E-2</v>
      </c>
      <c r="X46" s="298"/>
      <c r="Y46" s="299">
        <f t="shared" si="27"/>
        <v>9.9000000000000005E-2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98"/>
      <c r="W47" s="299">
        <f t="shared" si="26"/>
        <v>0.14899999999999999</v>
      </c>
      <c r="X47" s="298"/>
      <c r="Y47" s="299">
        <f t="shared" si="27"/>
        <v>0.14899999999999999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98"/>
      <c r="W48" s="299" t="e">
        <f t="shared" si="26"/>
        <v>#DIV/0!</v>
      </c>
      <c r="X48" s="298"/>
      <c r="Y48" s="299" t="e">
        <f t="shared" si="27"/>
        <v>#DIV/0!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98"/>
      <c r="W49" s="299" t="e">
        <f t="shared" si="26"/>
        <v>#DIV/0!</v>
      </c>
      <c r="X49" s="298"/>
      <c r="Y49" s="299" t="e">
        <f t="shared" si="27"/>
        <v>#DIV/0!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98"/>
      <c r="W50" s="299" t="e">
        <f t="shared" si="26"/>
        <v>#DIV/0!</v>
      </c>
      <c r="X50" s="298"/>
      <c r="Y50" s="299" t="e">
        <f t="shared" si="27"/>
        <v>#DIV/0!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98"/>
      <c r="W51" s="299" t="e">
        <f t="shared" si="26"/>
        <v>#DIV/0!</v>
      </c>
      <c r="X51" s="298"/>
      <c r="Y51" s="299" t="e">
        <f t="shared" si="27"/>
        <v>#DIV/0!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98"/>
      <c r="W52" s="299" t="e">
        <f t="shared" si="26"/>
        <v>#DIV/0!</v>
      </c>
      <c r="X52" s="298"/>
      <c r="Y52" s="299" t="e">
        <f t="shared" si="27"/>
        <v>#DIV/0!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98"/>
      <c r="W53" s="299" t="e">
        <f t="shared" si="26"/>
        <v>#DIV/0!</v>
      </c>
      <c r="X53" s="298"/>
      <c r="Y53" s="299" t="e">
        <f t="shared" si="27"/>
        <v>#DIV/0!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98"/>
      <c r="W54" s="299" t="e">
        <f t="shared" si="26"/>
        <v>#DIV/0!</v>
      </c>
      <c r="X54" s="298"/>
      <c r="Y54" s="299" t="e">
        <f t="shared" si="27"/>
        <v>#DIV/0!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98"/>
      <c r="W55" s="299"/>
      <c r="X55" s="298"/>
      <c r="Y55" s="299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300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spans="1:40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1:40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spans="1:40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spans="1:40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spans="1:4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spans="1:40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spans="1:40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1:40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spans="1:40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spans="1:40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spans="1:4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1:40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spans="1:40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spans="1:40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spans="1:40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spans="1:40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spans="1:40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spans="1:40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1:4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1:40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spans="1:40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spans="1:40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spans="1:40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spans="1:40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spans="1:40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1:40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1:40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spans="1:4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spans="1:40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spans="1:40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spans="1:40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spans="1:40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1:40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1:40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spans="1:40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spans="1:40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spans="1:40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spans="1:40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spans="1: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spans="1:40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spans="1:40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spans="1:40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spans="1:40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spans="1:40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spans="1:40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spans="1:4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spans="1:40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spans="1:40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spans="1:40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spans="1:40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spans="1:40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spans="1:40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spans="1:40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spans="1:40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spans="1:40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spans="1:4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spans="1:40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spans="1:40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spans="1:40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spans="1:40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spans="1:40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spans="1:40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spans="1:40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spans="1:40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spans="1:40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spans="1:4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spans="1:40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spans="1:40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spans="1:40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spans="1:40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spans="1:40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spans="1:40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spans="1:40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spans="1:40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spans="1:40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spans="1:4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spans="1:40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spans="1:40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spans="1:40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spans="1:40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spans="1:40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spans="1:40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spans="1:40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spans="1:40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spans="1:40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spans="1:4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spans="1:40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spans="1:40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spans="1:40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spans="1:40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spans="1:40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spans="1:40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spans="1:40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spans="1:40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spans="1:40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spans="1:4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spans="1:40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spans="1:40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spans="1:40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spans="1:40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spans="1:40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spans="1:40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spans="1:40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spans="1:40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spans="1:40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spans="1: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spans="1:40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spans="1:40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spans="1:40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spans="1:40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spans="1:40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spans="1:40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spans="1:40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spans="1:40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spans="1:40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spans="1:4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spans="1:40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spans="1:40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spans="1:40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spans="1:40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spans="1:40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spans="1:40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spans="1:40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spans="1:40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spans="1:40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spans="1:4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spans="1:40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spans="1:40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spans="1:40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spans="1:40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spans="1:40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spans="1:40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spans="1:40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spans="1:40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spans="1:40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spans="1:4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spans="1:40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spans="1:40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spans="1:40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spans="1:40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spans="1:40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spans="1:40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spans="1:40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spans="1:40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spans="1:40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spans="1:4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spans="1:40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spans="1:40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spans="1:40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spans="1:40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spans="1:40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spans="1:40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spans="1:40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spans="1:40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spans="1:40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spans="1:4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spans="1:40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spans="1:40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spans="1:40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spans="1:40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spans="1:40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spans="1:40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spans="1:40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spans="1:40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spans="1:40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spans="1:4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spans="1:40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spans="1:40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spans="1:40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spans="1:40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spans="1:40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spans="1:40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spans="1:40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spans="1:40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spans="1:40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spans="1:4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spans="1:40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spans="1:40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spans="1:40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spans="1:40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spans="1:40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spans="1:40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spans="1:40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spans="1:40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spans="1:40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spans="1:4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spans="1:40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spans="1:40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spans="1:40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spans="1:40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spans="1:40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spans="1:40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spans="1:40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spans="1:40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spans="1:40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spans="1:4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spans="1:40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spans="1:40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spans="1:40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spans="1:40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spans="1:40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spans="1:40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spans="1:40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spans="1:40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spans="1:40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spans="1: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spans="1:40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spans="1:40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spans="1:40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spans="1:40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spans="1:40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spans="1:40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spans="1:40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spans="1:40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spans="1:40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spans="1:4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spans="1:40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spans="1:40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spans="1:40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spans="1:40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spans="1:40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spans="1:40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spans="1:40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spans="1:40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spans="1:40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spans="1:4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spans="1:40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spans="1:40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spans="1:40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spans="1:40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spans="1:40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spans="1:40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spans="1:40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spans="1:40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spans="1:40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spans="1:4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spans="1:40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spans="1:40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spans="1:40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spans="1:40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spans="1:40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spans="1:40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spans="1:40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spans="1:40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spans="1:40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spans="1:4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spans="1:40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spans="1:40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spans="1:40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spans="1:40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spans="1:40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spans="1:40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spans="1:40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spans="1:40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spans="1:40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spans="1:4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spans="1:40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spans="1:40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spans="1:40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spans="1:40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spans="1:40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spans="1:40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spans="1:40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spans="1:40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spans="1:40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spans="1:4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spans="1:40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spans="1:40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spans="1:40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spans="1:40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spans="1:40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spans="1:40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spans="1:40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spans="1:40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spans="1:40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spans="1:4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spans="1:40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spans="1:40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spans="1:40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spans="1:40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spans="1:40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spans="1:40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spans="1:40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spans="1:40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spans="1:40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spans="1:4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spans="1:40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spans="1:40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spans="1:40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spans="1:40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spans="1:40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spans="1:40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spans="1:40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spans="1:40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spans="1:40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spans="1:4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spans="1:40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spans="1:40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spans="1:40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spans="1:40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spans="1:40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spans="1:40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spans="1:40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spans="1:40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spans="1:40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spans="1: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spans="1:40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spans="1:40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spans="1:40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spans="1:40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spans="1:40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spans="1:40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spans="1:40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spans="1:40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spans="1:40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spans="1:4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spans="1:40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spans="1:40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spans="1:40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spans="1:40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spans="1:40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spans="1:40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spans="1:40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spans="1:40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spans="1:40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spans="1:4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spans="1:40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spans="1:40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spans="1:40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spans="1:40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spans="1:40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spans="1:40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spans="1:40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spans="1:40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spans="1:40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spans="1:4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spans="1:40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spans="1:40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spans="1:40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spans="1:40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spans="1:40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spans="1:40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spans="1:40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spans="1:40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spans="1:40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spans="1:4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spans="1:40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spans="1:40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spans="1:40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spans="1:40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spans="1:40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spans="1:40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spans="1:40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spans="1:40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spans="1:40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spans="1:4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spans="1:40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spans="1:40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spans="1:40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spans="1:40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spans="1:40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spans="1:40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spans="1:40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spans="1:40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spans="1:40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spans="1:4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55">
    <mergeCell ref="N24:AE24"/>
    <mergeCell ref="P25:P26"/>
    <mergeCell ref="Q25:Q26"/>
    <mergeCell ref="R25:R26"/>
    <mergeCell ref="S25:S26"/>
    <mergeCell ref="A18:D18"/>
    <mergeCell ref="F18:G18"/>
    <mergeCell ref="H18:K18"/>
    <mergeCell ref="A24:F25"/>
    <mergeCell ref="H24:K25"/>
    <mergeCell ref="A15:E15"/>
    <mergeCell ref="F15:G15"/>
    <mergeCell ref="H15:I15"/>
    <mergeCell ref="A16:K17"/>
    <mergeCell ref="AM15:AM16"/>
    <mergeCell ref="B13:C13"/>
    <mergeCell ref="F13:G13"/>
    <mergeCell ref="H13:I13"/>
    <mergeCell ref="A14:B14"/>
    <mergeCell ref="D14:E14"/>
    <mergeCell ref="F14:G14"/>
    <mergeCell ref="H14:I14"/>
    <mergeCell ref="B11:C11"/>
    <mergeCell ref="F11:G11"/>
    <mergeCell ref="H11:I11"/>
    <mergeCell ref="B12:C12"/>
    <mergeCell ref="F12:G12"/>
    <mergeCell ref="H12:I12"/>
    <mergeCell ref="B9:C9"/>
    <mergeCell ref="F9:G9"/>
    <mergeCell ref="H9:I9"/>
    <mergeCell ref="M9:N10"/>
    <mergeCell ref="O9:P10"/>
    <mergeCell ref="B10:C10"/>
    <mergeCell ref="F10:G10"/>
    <mergeCell ref="H10:I10"/>
    <mergeCell ref="B7:C7"/>
    <mergeCell ref="E7:F7"/>
    <mergeCell ref="I7:J7"/>
    <mergeCell ref="M8:N8"/>
    <mergeCell ref="O8:P8"/>
    <mergeCell ref="B5:C5"/>
    <mergeCell ref="E5:F5"/>
    <mergeCell ref="I5:J5"/>
    <mergeCell ref="S5:T5"/>
    <mergeCell ref="B6:C6"/>
    <mergeCell ref="E6:F6"/>
    <mergeCell ref="I6:J6"/>
    <mergeCell ref="A1:J3"/>
    <mergeCell ref="M1:T2"/>
    <mergeCell ref="S3:T3"/>
    <mergeCell ref="C4:D4"/>
    <mergeCell ref="E4:F4"/>
    <mergeCell ref="I4:J4"/>
    <mergeCell ref="S4:T4"/>
  </mergeCells>
  <conditionalFormatting sqref="W28:W38">
    <cfRule type="cellIs" dxfId="1" priority="8" operator="greaterThan">
      <formula>$Q$28</formula>
    </cfRule>
  </conditionalFormatting>
  <conditionalFormatting sqref="AE28:AE38">
    <cfRule type="cellIs" dxfId="0" priority="9" operator="greaterThan">
      <formula>$Q$28</formula>
    </cfRule>
  </conditionalFormatting>
  <dataValidations count="4">
    <dataValidation type="list" allowBlank="1" showInputMessage="1" showErrorMessage="1" sqref="A11" xr:uid="{00000000-0002-0000-0200-000000000000}">
      <formula1>$K$7:$K$8</formula1>
    </dataValidation>
    <dataValidation type="list" allowBlank="1" showErrorMessage="1" sqref="C14" xr:uid="{00000000-0002-0000-0200-000002000000}">
      <formula1>"Instalaciones AG,Instalaciones de Cliente"</formula1>
    </dataValidation>
    <dataValidation type="list" allowBlank="1" showInputMessage="1" showErrorMessage="1" sqref="F15:G15" xr:uid="{00000000-0002-0000-0200-000003000000}">
      <formula1>$K$4:$K$6</formula1>
    </dataValidation>
    <dataValidation type="list" allowBlank="1" showErrorMessage="1" sqref="M8:N8" xr:uid="{00000000-0002-0000-0200-000004000000}">
      <formula1>"Abraham Ginez,Ana Salas,Angel Amador,Dante Hernandez,Edgar Amador, Ricardo Dominguez"</formula1>
    </dataValidation>
  </dataValidations>
  <pageMargins left="0.7" right="0.7" top="0.75" bottom="0.75" header="0" footer="0"/>
  <pageSetup orientation="portrait" useFirstPageNumber="1" horizontalDpi="4294967295" verticalDpi="4294967295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200-000001000000}">
            <xm:f>NOT(ISERROR(SEARCH(("RECHAZADO"),(K20))))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14:cfRule type="containsText" priority="2" operator="containsText" id="{00000000-000E-0000-0200-000002000000}">
            <xm:f>NOT(ISERROR(SEARCH(("aceptaDO"),(K20))))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K20:K22</xm:sqref>
        </x14:conditionalFormatting>
        <x14:conditionalFormatting xmlns:xm="http://schemas.microsoft.com/office/excel/2006/main">
          <x14:cfRule type="containsText" priority="3" operator="containsText" id="{00000000-000E-0000-0200-000003000000}">
            <xm:f>NOT(ISERROR(SEARCH(("ACEPTADO"),(R28))))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R28</xm:sqref>
        </x14:conditionalFormatting>
        <x14:conditionalFormatting xmlns:xm="http://schemas.microsoft.com/office/excel/2006/main">
          <x14:cfRule type="containsText" priority="4" operator="containsText" id="{00000000-000E-0000-0200-000004000000}">
            <xm:f>NOT(ISERROR(SEARCH(("RECHAZADO"),(R28))))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14:cfRule type="containsText" priority="5" operator="containsText" id="{00000000-000E-0000-0200-000005000000}">
            <xm:f>NOT(ISERROR(SEARCH(("ACEPTADO"),(R28))))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R28:S38</xm:sqref>
        </x14:conditionalFormatting>
        <x14:conditionalFormatting xmlns:xm="http://schemas.microsoft.com/office/excel/2006/main">
          <x14:cfRule type="containsText" priority="6" operator="containsText" id="{00000000-000E-0000-0200-000006000000}">
            <xm:f>NOT(ISERROR(SEARCH(("RECHAZADO"),(V28))))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14:cfRule type="containsText" priority="7" operator="containsText" id="{00000000-000E-0000-0200-000007000000}">
            <xm:f>NOT(ISERROR(SEARCH(("ACEPTADO"),(V28))))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V28:W38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CC76026-D443-43A2-9DAE-29265EA5C890}">
          <x14:formula1>
            <xm:f>BD_Clientes!$A$2:$A$72</xm:f>
          </x14:formula1>
          <xm:sqref>B5:C5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zoomScaleNormal="100" workbookViewId="0">
      <selection activeCell="D7" sqref="D7"/>
    </sheetView>
  </sheetViews>
  <sheetFormatPr baseColWidth="10" defaultColWidth="14.44140625" defaultRowHeight="14.4"/>
  <cols>
    <col min="1" max="1" width="18.5546875" customWidth="1"/>
    <col min="2" max="2" width="23" customWidth="1"/>
    <col min="3" max="3" width="10.6640625" customWidth="1"/>
    <col min="4" max="4" width="20.5546875" customWidth="1"/>
    <col min="5" max="5" width="12.5546875" customWidth="1"/>
    <col min="6" max="6" width="12.33203125" customWidth="1"/>
    <col min="7" max="7" width="16.109375" customWidth="1"/>
    <col min="8" max="8" width="7.88671875" customWidth="1"/>
    <col min="9" max="9" width="12.5546875" customWidth="1"/>
    <col min="10" max="26" width="10.6640625" customWidth="1"/>
  </cols>
  <sheetData>
    <row r="1" spans="1:13" ht="17.25" customHeight="1">
      <c r="A1" s="559" t="s">
        <v>26</v>
      </c>
      <c r="B1" s="437"/>
      <c r="C1" s="437"/>
      <c r="D1" s="437"/>
      <c r="E1" s="437"/>
      <c r="F1" s="437"/>
      <c r="G1" s="437"/>
      <c r="H1" s="498"/>
      <c r="J1" s="301"/>
      <c r="K1" s="301"/>
      <c r="L1" s="301"/>
      <c r="M1" s="301"/>
    </row>
    <row r="2" spans="1:13" ht="15" customHeight="1">
      <c r="A2" s="499"/>
      <c r="B2" s="413"/>
      <c r="C2" s="413"/>
      <c r="D2" s="413"/>
      <c r="E2" s="413"/>
      <c r="F2" s="413"/>
      <c r="G2" s="413"/>
      <c r="H2" s="500"/>
      <c r="J2" s="301"/>
      <c r="K2" s="301"/>
      <c r="L2" s="301"/>
      <c r="M2" s="301"/>
    </row>
    <row r="3" spans="1:13" ht="15.75" customHeight="1">
      <c r="A3" s="501"/>
      <c r="B3" s="420"/>
      <c r="C3" s="420"/>
      <c r="D3" s="420"/>
      <c r="E3" s="420"/>
      <c r="F3" s="420"/>
      <c r="G3" s="420"/>
      <c r="H3" s="502"/>
      <c r="J3" s="301"/>
      <c r="K3" s="301"/>
      <c r="L3" s="301"/>
      <c r="M3" s="301"/>
    </row>
    <row r="4" spans="1:13" ht="14.4" customHeight="1">
      <c r="A4" s="302" t="s">
        <v>87</v>
      </c>
      <c r="B4" s="303" t="s">
        <v>162</v>
      </c>
      <c r="C4" s="304" t="s">
        <v>88</v>
      </c>
      <c r="D4" s="305" t="s">
        <v>163</v>
      </c>
      <c r="E4" s="306" t="s">
        <v>164</v>
      </c>
      <c r="F4" s="307"/>
      <c r="G4" s="307"/>
      <c r="H4" s="308"/>
      <c r="J4" s="301"/>
      <c r="K4" s="301"/>
      <c r="L4" s="301"/>
      <c r="M4" s="301"/>
    </row>
    <row r="5" spans="1:13" ht="14.4" customHeight="1">
      <c r="A5" s="309" t="s">
        <v>92</v>
      </c>
      <c r="B5" s="310" t="s">
        <v>165</v>
      </c>
      <c r="C5" s="311" t="s">
        <v>166</v>
      </c>
      <c r="D5" s="312" t="s">
        <v>167</v>
      </c>
      <c r="E5" s="313" t="s">
        <v>168</v>
      </c>
      <c r="F5" s="314" t="s">
        <v>26</v>
      </c>
      <c r="G5" s="314" t="s">
        <v>169</v>
      </c>
      <c r="H5" s="315" t="s">
        <v>170</v>
      </c>
      <c r="J5" s="301"/>
      <c r="K5" s="301"/>
      <c r="L5" s="301"/>
      <c r="M5" s="301"/>
    </row>
    <row r="6" spans="1:13" ht="14.4" customHeight="1">
      <c r="A6" s="309" t="s">
        <v>85</v>
      </c>
      <c r="B6" s="310" t="s">
        <v>171</v>
      </c>
      <c r="C6" s="311" t="s">
        <v>172</v>
      </c>
      <c r="D6" s="316">
        <v>45692</v>
      </c>
      <c r="E6" s="317">
        <v>100</v>
      </c>
      <c r="F6" s="318">
        <v>0.1</v>
      </c>
      <c r="G6" s="319">
        <v>5.8000000000000003E-2</v>
      </c>
      <c r="H6" s="320">
        <v>0.375</v>
      </c>
      <c r="J6" s="301"/>
      <c r="K6" s="301"/>
      <c r="L6" s="301"/>
      <c r="M6" s="301"/>
    </row>
    <row r="7" spans="1:13" ht="14.4" customHeight="1">
      <c r="A7" s="309" t="s">
        <v>173</v>
      </c>
      <c r="B7" s="310">
        <v>9941257</v>
      </c>
      <c r="C7" s="311" t="s">
        <v>174</v>
      </c>
      <c r="D7" s="316">
        <f>D6+365</f>
        <v>46057</v>
      </c>
      <c r="E7" s="317">
        <v>200</v>
      </c>
      <c r="F7" s="318">
        <v>0.1</v>
      </c>
      <c r="G7" s="319">
        <v>5.8000000000000003E-2</v>
      </c>
      <c r="H7" s="320">
        <v>0.375</v>
      </c>
      <c r="J7" s="301"/>
      <c r="K7" s="301"/>
      <c r="L7" s="301"/>
      <c r="M7" s="301"/>
    </row>
    <row r="8" spans="1:13" ht="14.4" customHeight="1">
      <c r="A8" s="309" t="s">
        <v>175</v>
      </c>
      <c r="B8" s="310" t="s">
        <v>176</v>
      </c>
      <c r="C8" s="311"/>
      <c r="D8" s="316"/>
      <c r="E8" s="317">
        <v>300</v>
      </c>
      <c r="F8" s="318">
        <v>0.2</v>
      </c>
      <c r="G8" s="319">
        <v>5.8999999999999997E-2</v>
      </c>
      <c r="H8" s="320">
        <v>0.375</v>
      </c>
      <c r="J8" s="301"/>
      <c r="K8" s="301"/>
      <c r="L8" s="301"/>
      <c r="M8" s="301"/>
    </row>
    <row r="9" spans="1:13" ht="14.4" customHeight="1">
      <c r="A9" s="311"/>
      <c r="B9" s="310"/>
      <c r="C9" s="311"/>
      <c r="D9" s="321"/>
      <c r="E9" s="317">
        <v>400</v>
      </c>
      <c r="F9" s="318">
        <v>0.2</v>
      </c>
      <c r="G9" s="319">
        <v>5.8999999999999997E-2</v>
      </c>
      <c r="H9" s="320">
        <v>0.375</v>
      </c>
      <c r="J9" s="301"/>
      <c r="K9" s="301"/>
      <c r="L9" s="301"/>
      <c r="M9" s="301"/>
    </row>
    <row r="10" spans="1:13" ht="14.4" customHeight="1">
      <c r="A10" s="311"/>
      <c r="B10" s="310"/>
      <c r="C10" s="311"/>
      <c r="D10" s="321"/>
      <c r="E10" s="317">
        <v>500</v>
      </c>
      <c r="F10" s="318">
        <v>0.3</v>
      </c>
      <c r="G10" s="319">
        <v>0.06</v>
      </c>
      <c r="H10" s="320">
        <v>0.375</v>
      </c>
      <c r="J10" s="301"/>
      <c r="K10" s="301"/>
      <c r="L10" s="301"/>
      <c r="M10" s="301"/>
    </row>
    <row r="11" spans="1:13" ht="14.4" customHeight="1">
      <c r="A11" s="311"/>
      <c r="B11" s="310"/>
      <c r="C11" s="311"/>
      <c r="D11" s="321"/>
      <c r="E11" s="317">
        <v>600</v>
      </c>
      <c r="F11" s="318">
        <v>0.4</v>
      </c>
      <c r="G11" s="319">
        <v>0.09</v>
      </c>
      <c r="H11" s="320">
        <v>0.375</v>
      </c>
      <c r="J11" s="301"/>
      <c r="K11" s="301"/>
      <c r="L11" s="301"/>
      <c r="M11" s="301"/>
    </row>
    <row r="12" spans="1:13" ht="14.4" customHeight="1">
      <c r="A12" s="311"/>
      <c r="B12" s="310"/>
      <c r="C12" s="311"/>
      <c r="D12" s="321"/>
      <c r="E12" s="322">
        <v>700</v>
      </c>
      <c r="F12" s="323">
        <v>0.4</v>
      </c>
      <c r="G12" s="323">
        <v>6.3E-2</v>
      </c>
      <c r="H12" s="324">
        <v>5</v>
      </c>
      <c r="J12" s="301"/>
      <c r="K12" s="301"/>
      <c r="L12" s="301"/>
      <c r="M12" s="301"/>
    </row>
    <row r="13" spans="1:13" ht="14.4" customHeight="1">
      <c r="A13" s="311"/>
      <c r="B13" s="310"/>
      <c r="C13" s="311"/>
      <c r="D13" s="321"/>
      <c r="E13" s="317">
        <v>800</v>
      </c>
      <c r="F13" s="318">
        <v>0.5</v>
      </c>
      <c r="G13" s="319">
        <v>6.5000000000000002E-2</v>
      </c>
      <c r="H13" s="320">
        <v>0.375</v>
      </c>
      <c r="J13" s="301"/>
      <c r="K13" s="301"/>
      <c r="L13" s="301"/>
      <c r="M13" s="301"/>
    </row>
    <row r="14" spans="1:13" ht="14.4" customHeight="1">
      <c r="A14" s="311"/>
      <c r="B14" s="310"/>
      <c r="C14" s="311"/>
      <c r="D14" s="321"/>
      <c r="E14" s="317">
        <v>900</v>
      </c>
      <c r="F14" s="318">
        <v>0.5</v>
      </c>
      <c r="G14" s="319">
        <v>7.2999999999999995E-2</v>
      </c>
      <c r="H14" s="320">
        <v>0.375</v>
      </c>
      <c r="J14" s="301"/>
      <c r="K14" s="301"/>
      <c r="L14" s="301"/>
      <c r="M14" s="301"/>
    </row>
    <row r="15" spans="1:13" ht="14.4" customHeight="1">
      <c r="A15" s="325"/>
      <c r="B15" s="326"/>
      <c r="C15" s="325"/>
      <c r="D15" s="327"/>
      <c r="E15" s="317">
        <v>1000</v>
      </c>
      <c r="F15" s="318">
        <v>0.6</v>
      </c>
      <c r="G15" s="319">
        <v>8.1000000000000003E-2</v>
      </c>
      <c r="H15" s="320">
        <v>0.375</v>
      </c>
      <c r="J15" s="301"/>
      <c r="K15" s="301"/>
      <c r="L15" s="301"/>
      <c r="M15" s="301"/>
    </row>
    <row r="16" spans="1:13" ht="14.4" customHeight="1">
      <c r="E16" s="322">
        <v>1000</v>
      </c>
      <c r="F16" s="323">
        <v>1</v>
      </c>
      <c r="G16" s="323">
        <v>0.87</v>
      </c>
      <c r="H16" s="324">
        <v>5</v>
      </c>
      <c r="J16" s="301"/>
      <c r="K16" s="301"/>
      <c r="L16" s="301"/>
      <c r="M16" s="301"/>
    </row>
    <row r="17" spans="1:13" ht="15.75" customHeight="1">
      <c r="A17" s="560" t="s">
        <v>26</v>
      </c>
      <c r="B17" s="437"/>
      <c r="C17" s="437"/>
      <c r="D17" s="437"/>
      <c r="E17" s="322">
        <v>2000</v>
      </c>
      <c r="F17" s="323">
        <v>0</v>
      </c>
      <c r="G17" s="323">
        <v>0.87</v>
      </c>
      <c r="H17" s="324">
        <v>5</v>
      </c>
      <c r="J17" s="301"/>
      <c r="K17" s="301"/>
      <c r="L17" s="301"/>
      <c r="M17" s="301"/>
    </row>
    <row r="18" spans="1:13" ht="15" customHeight="1">
      <c r="A18" s="499"/>
      <c r="B18" s="413"/>
      <c r="C18" s="413"/>
      <c r="D18" s="417"/>
      <c r="E18" s="322">
        <v>3000</v>
      </c>
      <c r="F18" s="323">
        <v>0</v>
      </c>
      <c r="G18" s="323">
        <v>0.82</v>
      </c>
      <c r="H18" s="324">
        <v>5</v>
      </c>
      <c r="J18" s="301"/>
      <c r="K18" s="301"/>
      <c r="L18" s="301"/>
      <c r="M18" s="301"/>
    </row>
    <row r="19" spans="1:13" ht="15.75" customHeight="1">
      <c r="A19" s="501"/>
      <c r="B19" s="420"/>
      <c r="C19" s="420"/>
      <c r="D19" s="420"/>
      <c r="E19" s="322">
        <v>4000</v>
      </c>
      <c r="F19" s="323">
        <v>0</v>
      </c>
      <c r="G19" s="323">
        <v>0.83</v>
      </c>
      <c r="H19" s="324">
        <v>5</v>
      </c>
      <c r="J19" s="301"/>
      <c r="K19" s="301"/>
      <c r="L19" s="301"/>
      <c r="M19" s="301"/>
    </row>
    <row r="20" spans="1:13" ht="14.4" customHeight="1">
      <c r="A20" s="328" t="s">
        <v>87</v>
      </c>
      <c r="B20" s="329" t="s">
        <v>162</v>
      </c>
      <c r="C20" s="330" t="s">
        <v>88</v>
      </c>
      <c r="D20" s="331" t="s">
        <v>177</v>
      </c>
      <c r="E20" s="322">
        <v>5000</v>
      </c>
      <c r="F20" s="323">
        <v>2</v>
      </c>
      <c r="G20" s="323">
        <v>0.61</v>
      </c>
      <c r="H20" s="324">
        <v>5</v>
      </c>
      <c r="J20" s="301"/>
      <c r="K20" s="301"/>
      <c r="L20" s="301"/>
      <c r="M20" s="301"/>
    </row>
    <row r="21" spans="1:13" ht="15.75" customHeight="1">
      <c r="A21" s="332" t="s">
        <v>92</v>
      </c>
      <c r="B21" s="333" t="s">
        <v>178</v>
      </c>
      <c r="C21" s="334" t="s">
        <v>166</v>
      </c>
      <c r="D21" s="335" t="s">
        <v>179</v>
      </c>
      <c r="E21" s="322">
        <v>6000</v>
      </c>
      <c r="F21" s="323">
        <v>2</v>
      </c>
      <c r="G21" s="323">
        <v>0.9</v>
      </c>
      <c r="H21" s="324">
        <v>5</v>
      </c>
      <c r="J21" s="301"/>
      <c r="K21" s="301"/>
      <c r="L21" s="301"/>
      <c r="M21" s="301"/>
    </row>
    <row r="22" spans="1:13" ht="15.75" customHeight="1">
      <c r="A22" s="332" t="s">
        <v>85</v>
      </c>
      <c r="B22" s="333" t="s">
        <v>180</v>
      </c>
      <c r="C22" s="334" t="s">
        <v>172</v>
      </c>
      <c r="D22" s="336">
        <v>45624</v>
      </c>
      <c r="E22" s="322">
        <v>7000</v>
      </c>
      <c r="F22" s="323">
        <v>2</v>
      </c>
      <c r="G22" s="323">
        <v>0.86</v>
      </c>
      <c r="H22" s="324">
        <v>5</v>
      </c>
    </row>
    <row r="23" spans="1:13" ht="15.75" customHeight="1">
      <c r="A23" s="332" t="s">
        <v>173</v>
      </c>
      <c r="B23" s="333">
        <v>5335895</v>
      </c>
      <c r="C23" s="334" t="s">
        <v>174</v>
      </c>
      <c r="D23" s="336">
        <f>D22+365</f>
        <v>45989</v>
      </c>
      <c r="E23" s="322">
        <v>8000</v>
      </c>
      <c r="F23" s="323">
        <v>1</v>
      </c>
      <c r="G23" s="323">
        <v>0.92</v>
      </c>
      <c r="H23" s="324">
        <v>5</v>
      </c>
    </row>
    <row r="24" spans="1:13" ht="15.75" customHeight="1">
      <c r="A24" s="332" t="s">
        <v>175</v>
      </c>
      <c r="B24" s="333" t="s">
        <v>181</v>
      </c>
      <c r="C24" s="334"/>
      <c r="D24" s="336"/>
      <c r="E24" s="322">
        <v>9000</v>
      </c>
      <c r="F24" s="323">
        <v>1</v>
      </c>
      <c r="G24" s="323">
        <v>0.89</v>
      </c>
      <c r="H24" s="324">
        <v>5</v>
      </c>
    </row>
    <row r="25" spans="1:13" ht="15.75" customHeight="1">
      <c r="A25" s="311"/>
      <c r="B25" s="310"/>
      <c r="C25" s="311"/>
      <c r="D25" s="321"/>
      <c r="E25" s="337">
        <v>10000</v>
      </c>
      <c r="F25" s="338">
        <v>3</v>
      </c>
      <c r="G25" s="339">
        <v>0.69</v>
      </c>
      <c r="H25" s="340">
        <v>5</v>
      </c>
    </row>
    <row r="26" spans="1:13" ht="15.75" customHeight="1">
      <c r="A26" s="311"/>
      <c r="B26" s="310"/>
      <c r="C26" s="311"/>
      <c r="D26" s="341"/>
      <c r="E26" s="342"/>
      <c r="F26" s="342"/>
      <c r="G26" s="343"/>
      <c r="H26" s="344"/>
      <c r="I26" s="2"/>
    </row>
    <row r="27" spans="1:13" ht="15.75" customHeight="1">
      <c r="A27" s="311"/>
      <c r="B27" s="310"/>
      <c r="C27" s="311"/>
      <c r="D27" s="341"/>
      <c r="E27" s="301"/>
      <c r="F27" s="301"/>
      <c r="G27" s="301"/>
      <c r="H27" s="301"/>
      <c r="I27" s="2"/>
    </row>
    <row r="28" spans="1:13" ht="15.75" customHeight="1">
      <c r="A28" s="311"/>
      <c r="B28" s="310"/>
      <c r="C28" s="311"/>
      <c r="D28" s="341"/>
      <c r="E28" s="301"/>
      <c r="F28" s="301"/>
      <c r="G28" s="301"/>
      <c r="H28" s="301"/>
    </row>
    <row r="29" spans="1:13" ht="15.75" customHeight="1">
      <c r="A29" s="311"/>
      <c r="B29" s="310"/>
      <c r="C29" s="311"/>
      <c r="D29" s="341"/>
      <c r="E29" s="301"/>
      <c r="F29" s="301"/>
      <c r="G29" s="301"/>
      <c r="H29" s="301"/>
    </row>
    <row r="30" spans="1:13" ht="15.75" customHeight="1">
      <c r="A30" s="311"/>
      <c r="B30" s="310"/>
      <c r="C30" s="311"/>
      <c r="D30" s="321"/>
    </row>
    <row r="31" spans="1:13" ht="15.75" customHeight="1">
      <c r="A31" s="325"/>
      <c r="B31" s="326"/>
      <c r="C31" s="325"/>
      <c r="D31" s="327"/>
    </row>
    <row r="32" spans="1:13" ht="15.75" customHeight="1"/>
    <row r="33" spans="1:11" ht="15.75" customHeight="1">
      <c r="F33" s="300"/>
    </row>
    <row r="34" spans="1:11" ht="15.75" customHeight="1"/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>
      <c r="I40" t="s">
        <v>182</v>
      </c>
    </row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>
      <c r="A45" s="561" t="s">
        <v>183</v>
      </c>
      <c r="B45" s="417"/>
      <c r="C45" s="417"/>
      <c r="D45" s="417"/>
      <c r="E45" s="417"/>
      <c r="F45" s="417"/>
      <c r="G45" s="417"/>
      <c r="H45" s="417"/>
      <c r="I45" s="417"/>
      <c r="J45" s="417"/>
      <c r="K45" s="417"/>
    </row>
    <row r="46" spans="1:11" ht="15.75" customHeight="1">
      <c r="A46" s="417"/>
      <c r="B46" s="413"/>
      <c r="C46" s="413"/>
      <c r="D46" s="413"/>
      <c r="E46" s="413"/>
      <c r="F46" s="413"/>
      <c r="G46" s="413"/>
      <c r="H46" s="413"/>
      <c r="I46" s="413"/>
      <c r="J46" s="413"/>
      <c r="K46" s="417"/>
    </row>
    <row r="47" spans="1:11" ht="15.75" customHeight="1">
      <c r="A47" s="417"/>
      <c r="B47" s="413"/>
      <c r="C47" s="413"/>
      <c r="D47" s="413"/>
      <c r="E47" s="413"/>
      <c r="F47" s="413"/>
      <c r="G47" s="413"/>
      <c r="H47" s="413"/>
      <c r="I47" s="413"/>
      <c r="J47" s="413"/>
      <c r="K47" s="417"/>
    </row>
    <row r="48" spans="1:11" ht="15.75" customHeight="1">
      <c r="A48" s="417"/>
      <c r="B48" s="417"/>
      <c r="C48" s="417"/>
      <c r="D48" s="417"/>
      <c r="E48" s="417"/>
      <c r="F48" s="417"/>
      <c r="G48" s="417"/>
      <c r="H48" s="417"/>
      <c r="I48" s="417"/>
      <c r="J48" s="417"/>
      <c r="K48" s="417"/>
    </row>
    <row r="49" spans="1:11" ht="15.75" customHeight="1">
      <c r="A49" s="345" t="s">
        <v>95</v>
      </c>
      <c r="B49" s="345" t="s">
        <v>184</v>
      </c>
      <c r="C49" s="345" t="s">
        <v>185</v>
      </c>
      <c r="D49" s="345" t="s">
        <v>186</v>
      </c>
      <c r="E49" s="345" t="s">
        <v>187</v>
      </c>
      <c r="F49" s="345" t="s">
        <v>188</v>
      </c>
      <c r="G49" s="345" t="s">
        <v>189</v>
      </c>
      <c r="H49" s="345" t="s">
        <v>190</v>
      </c>
      <c r="I49" s="345" t="s">
        <v>191</v>
      </c>
      <c r="J49" s="345"/>
      <c r="K49" s="345"/>
    </row>
    <row r="50" spans="1:11" ht="15.75" customHeight="1">
      <c r="A50" s="346">
        <f t="shared" ref="A50:A54" si="0">B50*0.0001450377</f>
        <v>-14.503770000000001</v>
      </c>
      <c r="B50" s="347">
        <v>-100000</v>
      </c>
      <c r="C50" s="345">
        <f t="shared" ref="C50:C51" si="1">B50*0.0001</f>
        <v>-10</v>
      </c>
      <c r="D50" s="345">
        <f t="shared" ref="D50:D51" si="2">B50*0.001</f>
        <v>-100</v>
      </c>
      <c r="E50" s="345">
        <f t="shared" ref="E50:E51" si="3">B50/100</f>
        <v>-1000</v>
      </c>
      <c r="F50" s="345"/>
      <c r="G50" s="345"/>
      <c r="H50" s="345"/>
      <c r="I50" s="345"/>
      <c r="J50" s="345"/>
      <c r="K50" s="345"/>
    </row>
    <row r="51" spans="1:11" ht="15.75" customHeight="1">
      <c r="A51" s="348">
        <f t="shared" si="0"/>
        <v>1.4503770000000001E-4</v>
      </c>
      <c r="B51" s="347">
        <v>1</v>
      </c>
      <c r="C51" s="345">
        <f t="shared" si="1"/>
        <v>1E-4</v>
      </c>
      <c r="D51" s="345">
        <f t="shared" si="2"/>
        <v>1E-3</v>
      </c>
      <c r="E51" s="345">
        <f t="shared" si="3"/>
        <v>0.01</v>
      </c>
      <c r="F51" s="345"/>
      <c r="G51" s="345"/>
      <c r="H51" s="345"/>
      <c r="I51" s="345"/>
      <c r="J51" s="345"/>
      <c r="K51" s="345"/>
    </row>
    <row r="52" spans="1:11" ht="15.75" customHeight="1">
      <c r="A52" s="346">
        <f t="shared" si="0"/>
        <v>145.0377</v>
      </c>
      <c r="B52" s="347">
        <v>1000000</v>
      </c>
      <c r="C52" s="345"/>
      <c r="D52" s="345"/>
      <c r="E52" s="345"/>
      <c r="F52" s="345"/>
      <c r="G52" s="345"/>
      <c r="H52" s="345"/>
      <c r="I52" s="345"/>
      <c r="J52" s="345"/>
      <c r="K52" s="345"/>
    </row>
    <row r="53" spans="1:11" ht="15.75" customHeight="1">
      <c r="A53" s="349">
        <f t="shared" si="0"/>
        <v>1450.3770000000002</v>
      </c>
      <c r="B53" s="347">
        <v>10000000</v>
      </c>
      <c r="C53" s="345"/>
      <c r="D53" s="345"/>
      <c r="E53" s="345"/>
      <c r="F53" s="345"/>
      <c r="G53" s="345"/>
      <c r="H53" s="345"/>
      <c r="I53" s="345"/>
      <c r="J53" s="345"/>
      <c r="K53" s="345"/>
    </row>
    <row r="54" spans="1:11" ht="15.75" customHeight="1">
      <c r="A54" s="346">
        <f t="shared" si="0"/>
        <v>1.450377</v>
      </c>
      <c r="B54" s="347">
        <v>10000</v>
      </c>
      <c r="C54" s="345"/>
      <c r="D54" s="345"/>
      <c r="E54" s="345"/>
      <c r="F54" s="345"/>
      <c r="G54" s="345"/>
      <c r="H54" s="345"/>
      <c r="I54" s="345"/>
      <c r="J54" s="345"/>
      <c r="K54" s="345"/>
    </row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algorithmName="SHA-512" hashValue="rPKm5EqdxyChwI45v2JCIlP8b1aMV8cXFZIT0ApftDJvGPPfam0iS2wFjAFqUrXlVV6aiCeO0TAS08By3NT76Q==" saltValue="HpGiVm3qh3qlpagqVQlG8A==" spinCount="100000" sheet="1" objects="1" scenarios="1"/>
  <mergeCells count="3">
    <mergeCell ref="A1:H3"/>
    <mergeCell ref="A17:D19"/>
    <mergeCell ref="A45:K48"/>
  </mergeCells>
  <pageMargins left="0.7" right="0.7" top="0.75" bottom="0.75" header="0" footer="0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000"/>
  <sheetViews>
    <sheetView zoomScaleNormal="100" workbookViewId="0">
      <selection activeCell="B7" sqref="B7"/>
    </sheetView>
  </sheetViews>
  <sheetFormatPr baseColWidth="10" defaultColWidth="14.44140625" defaultRowHeight="14.4"/>
  <cols>
    <col min="1" max="1" width="64.88671875" customWidth="1"/>
    <col min="2" max="2" width="28.33203125" customWidth="1"/>
    <col min="3" max="3" width="19.5546875" customWidth="1"/>
    <col min="4" max="4" width="14.6640625" customWidth="1"/>
    <col min="5" max="5" width="19.33203125" customWidth="1"/>
    <col min="6" max="6" width="29" customWidth="1"/>
    <col min="7" max="7" width="28" customWidth="1"/>
    <col min="8" max="8" width="23.6640625" customWidth="1"/>
    <col min="9" max="9" width="36.44140625" customWidth="1"/>
    <col min="10" max="10" width="37.44140625" customWidth="1"/>
    <col min="11" max="11" width="32.88671875" customWidth="1"/>
    <col min="12" max="26" width="10.6640625" customWidth="1"/>
  </cols>
  <sheetData>
    <row r="1" spans="1:13" ht="136.5" customHeight="1">
      <c r="A1" s="562" t="s">
        <v>192</v>
      </c>
      <c r="B1" s="417"/>
      <c r="C1" s="417"/>
      <c r="D1" s="563" t="s">
        <v>193</v>
      </c>
      <c r="E1" s="417"/>
      <c r="F1" s="417"/>
      <c r="G1" s="351">
        <f>Calculos!F10</f>
        <v>0.2</v>
      </c>
      <c r="H1" s="352" t="str">
        <f>Calculos!J10</f>
        <v>psi</v>
      </c>
      <c r="I1" s="564" t="s">
        <v>194</v>
      </c>
      <c r="J1" s="565"/>
      <c r="K1" s="353">
        <f>J19</f>
        <v>0.1293470783074232</v>
      </c>
      <c r="L1" s="354"/>
    </row>
    <row r="2" spans="1:13" ht="64.5" customHeight="1">
      <c r="A2" s="350" t="s">
        <v>195</v>
      </c>
      <c r="B2" s="566" t="s">
        <v>196</v>
      </c>
      <c r="C2" s="413"/>
      <c r="D2" s="413"/>
      <c r="E2" s="350"/>
      <c r="F2" s="567" t="s">
        <v>197</v>
      </c>
      <c r="G2" s="417"/>
      <c r="H2" s="568" t="str">
        <f>Portada!B46</f>
        <v>Manómetro Digital</v>
      </c>
      <c r="I2" s="417"/>
      <c r="J2" s="568" t="str">
        <f>Portada!D46</f>
        <v>AG-052</v>
      </c>
      <c r="K2" s="417"/>
      <c r="L2" s="355"/>
    </row>
    <row r="3" spans="1:13" ht="66" customHeight="1">
      <c r="A3" s="350" t="s">
        <v>198</v>
      </c>
      <c r="B3" s="566">
        <f>Calculos!B9</f>
        <v>0</v>
      </c>
      <c r="C3" s="413"/>
      <c r="D3" s="413"/>
      <c r="E3" s="235"/>
      <c r="F3" s="356"/>
      <c r="G3" s="356"/>
      <c r="H3" s="568" t="str">
        <f>Portada!B47</f>
        <v/>
      </c>
      <c r="I3" s="417"/>
      <c r="J3" s="568" t="str">
        <f>Portada!D47</f>
        <v/>
      </c>
      <c r="K3" s="417"/>
    </row>
    <row r="4" spans="1:13" ht="71.25" customHeight="1">
      <c r="A4" s="350" t="s">
        <v>199</v>
      </c>
      <c r="B4" s="569">
        <f>Portada!I34</f>
        <v>26.1</v>
      </c>
      <c r="C4" s="413"/>
      <c r="D4" s="570">
        <f>Portada!I36</f>
        <v>46.5</v>
      </c>
      <c r="E4" s="413"/>
      <c r="F4" s="357"/>
      <c r="G4" s="357"/>
      <c r="H4" s="357"/>
      <c r="I4" s="357"/>
      <c r="J4" s="357"/>
      <c r="K4" s="357"/>
    </row>
    <row r="5" spans="1:13" ht="96.75" customHeight="1">
      <c r="A5" s="571" t="s">
        <v>200</v>
      </c>
      <c r="B5" s="572"/>
      <c r="C5" s="573"/>
      <c r="D5" s="571" t="s">
        <v>201</v>
      </c>
      <c r="E5" s="572"/>
      <c r="F5" s="572"/>
      <c r="G5" s="572"/>
      <c r="H5" s="573"/>
      <c r="I5" s="358" t="s">
        <v>202</v>
      </c>
      <c r="J5" s="359" t="s">
        <v>203</v>
      </c>
      <c r="K5" s="358" t="s">
        <v>204</v>
      </c>
    </row>
    <row r="6" spans="1:13" ht="121.5" customHeight="1">
      <c r="A6" s="360" t="s">
        <v>205</v>
      </c>
      <c r="B6" s="360" t="s">
        <v>206</v>
      </c>
      <c r="C6" s="358" t="s">
        <v>207</v>
      </c>
      <c r="D6" s="360" t="s">
        <v>208</v>
      </c>
      <c r="E6" s="360" t="s">
        <v>209</v>
      </c>
      <c r="F6" s="360" t="s">
        <v>210</v>
      </c>
      <c r="G6" s="360" t="s">
        <v>211</v>
      </c>
      <c r="H6" s="360" t="s">
        <v>212</v>
      </c>
      <c r="I6" s="360"/>
      <c r="J6" s="361"/>
      <c r="K6" s="362" t="s">
        <v>213</v>
      </c>
    </row>
    <row r="7" spans="1:13" ht="77.25" customHeight="1">
      <c r="A7" s="363" t="s">
        <v>214</v>
      </c>
      <c r="B7" s="364">
        <f>MIN(Calculos!T28:T30)</f>
        <v>0</v>
      </c>
      <c r="C7" s="365" t="str">
        <f>H1</f>
        <v>psi</v>
      </c>
      <c r="D7" s="366" t="s">
        <v>215</v>
      </c>
      <c r="E7" s="366" t="s">
        <v>30</v>
      </c>
      <c r="F7" s="366" t="s">
        <v>216</v>
      </c>
      <c r="G7" s="364">
        <f>B7/SQRT(4)</f>
        <v>0</v>
      </c>
      <c r="H7" s="366" t="str">
        <f t="shared" ref="H7:H11" si="0">C7</f>
        <v>psi</v>
      </c>
      <c r="I7" s="366">
        <v>1</v>
      </c>
      <c r="J7" s="367">
        <f t="shared" ref="J7:J11" si="1">G7*I7</f>
        <v>0</v>
      </c>
      <c r="K7" s="368">
        <f t="shared" ref="K7:K11" si="2">POWER(J7,2)/POWER($J$16,2)</f>
        <v>0</v>
      </c>
    </row>
    <row r="8" spans="1:13" ht="73.5" customHeight="1">
      <c r="A8" s="369" t="s">
        <v>217</v>
      </c>
      <c r="B8" s="370">
        <f>MIN(Calculos!V28:V30)</f>
        <v>5.8000000000000003E-2</v>
      </c>
      <c r="C8" s="371" t="str">
        <f t="shared" ref="C8:C11" si="3">C7</f>
        <v>psi</v>
      </c>
      <c r="D8" s="371" t="s">
        <v>218</v>
      </c>
      <c r="E8" s="371" t="s">
        <v>30</v>
      </c>
      <c r="F8" s="371" t="s">
        <v>216</v>
      </c>
      <c r="G8" s="370">
        <f>B8/2</f>
        <v>2.9000000000000001E-2</v>
      </c>
      <c r="H8" s="371" t="str">
        <f t="shared" si="0"/>
        <v>psi</v>
      </c>
      <c r="I8" s="371">
        <v>1</v>
      </c>
      <c r="J8" s="372">
        <f t="shared" si="1"/>
        <v>2.9000000000000001E-2</v>
      </c>
      <c r="K8" s="373">
        <f t="shared" si="2"/>
        <v>0.2010678992668154</v>
      </c>
    </row>
    <row r="9" spans="1:13" ht="86.25" customHeight="1">
      <c r="A9" s="369" t="s">
        <v>219</v>
      </c>
      <c r="B9" s="370">
        <f>MIN(Calculos!Y28:Y30)</f>
        <v>0.1</v>
      </c>
      <c r="C9" s="371" t="str">
        <f t="shared" si="3"/>
        <v>psi</v>
      </c>
      <c r="D9" s="371" t="s">
        <v>218</v>
      </c>
      <c r="E9" s="371" t="s">
        <v>30</v>
      </c>
      <c r="F9" s="371" t="s">
        <v>220</v>
      </c>
      <c r="G9" s="370">
        <f>B9/SQRT(3)</f>
        <v>5.7735026918962581E-2</v>
      </c>
      <c r="H9" s="371" t="str">
        <f t="shared" si="0"/>
        <v>psi</v>
      </c>
      <c r="I9" s="371">
        <v>1</v>
      </c>
      <c r="J9" s="372">
        <f t="shared" si="1"/>
        <v>5.7735026918962581E-2</v>
      </c>
      <c r="K9" s="373">
        <f t="shared" si="2"/>
        <v>0.79693975135479755</v>
      </c>
    </row>
    <row r="10" spans="1:13" ht="88.5" customHeight="1">
      <c r="A10" s="369" t="s">
        <v>221</v>
      </c>
      <c r="B10" s="370">
        <f>Calculos!J9</f>
        <v>0.01</v>
      </c>
      <c r="C10" s="371" t="str">
        <f t="shared" si="3"/>
        <v>psi</v>
      </c>
      <c r="D10" s="371" t="s">
        <v>218</v>
      </c>
      <c r="E10" s="371" t="s">
        <v>30</v>
      </c>
      <c r="F10" s="371" t="s">
        <v>220</v>
      </c>
      <c r="G10" s="370">
        <f t="shared" ref="G10:G11" si="4">B10/SQRT(12)</f>
        <v>2.886751345948129E-3</v>
      </c>
      <c r="H10" s="371" t="str">
        <f t="shared" si="0"/>
        <v>psi</v>
      </c>
      <c r="I10" s="371">
        <v>1</v>
      </c>
      <c r="J10" s="372">
        <f t="shared" si="1"/>
        <v>2.886751345948129E-3</v>
      </c>
      <c r="K10" s="373">
        <f t="shared" si="2"/>
        <v>1.9923493783869936E-3</v>
      </c>
      <c r="M10" s="374"/>
    </row>
    <row r="11" spans="1:13" ht="58.5" customHeight="1">
      <c r="A11" s="369" t="s">
        <v>222</v>
      </c>
      <c r="B11" s="370">
        <f>MIN(Calculos!AA28:AA30)</f>
        <v>0</v>
      </c>
      <c r="C11" s="371" t="str">
        <f t="shared" si="3"/>
        <v>psi</v>
      </c>
      <c r="D11" s="371" t="s">
        <v>215</v>
      </c>
      <c r="E11" s="371" t="s">
        <v>30</v>
      </c>
      <c r="F11" s="371" t="s">
        <v>220</v>
      </c>
      <c r="G11" s="370">
        <f t="shared" si="4"/>
        <v>0</v>
      </c>
      <c r="H11" s="371" t="str">
        <f t="shared" si="0"/>
        <v>psi</v>
      </c>
      <c r="I11" s="371">
        <v>1</v>
      </c>
      <c r="J11" s="372">
        <f t="shared" si="1"/>
        <v>0</v>
      </c>
      <c r="K11" s="373">
        <f t="shared" si="2"/>
        <v>0</v>
      </c>
    </row>
    <row r="12" spans="1:13" ht="61.5" customHeight="1">
      <c r="A12" s="369"/>
      <c r="B12" s="375"/>
      <c r="C12" s="376"/>
      <c r="D12" s="376"/>
      <c r="E12" s="376"/>
      <c r="F12" s="376"/>
      <c r="G12" s="377"/>
      <c r="H12" s="376"/>
      <c r="I12" s="376"/>
      <c r="J12" s="378"/>
      <c r="K12" s="379"/>
    </row>
    <row r="13" spans="1:13" ht="51.75" customHeight="1">
      <c r="A13" s="380"/>
      <c r="B13" s="381"/>
      <c r="C13" s="376"/>
      <c r="D13" s="376"/>
      <c r="E13" s="376"/>
      <c r="F13" s="376"/>
      <c r="G13" s="381"/>
      <c r="H13" s="376"/>
      <c r="I13" s="376"/>
      <c r="J13" s="382"/>
      <c r="K13" s="379"/>
    </row>
    <row r="14" spans="1:13" ht="51.75" customHeight="1">
      <c r="A14" s="369"/>
      <c r="B14" s="376"/>
      <c r="C14" s="376"/>
      <c r="D14" s="376"/>
      <c r="E14" s="376"/>
      <c r="F14" s="376"/>
      <c r="G14" s="381"/>
      <c r="H14" s="376"/>
      <c r="I14" s="376"/>
      <c r="J14" s="382"/>
      <c r="K14" s="379"/>
    </row>
    <row r="15" spans="1:13" ht="57.75" customHeight="1">
      <c r="A15" s="383"/>
      <c r="B15" s="384"/>
      <c r="C15" s="384"/>
      <c r="D15" s="384"/>
      <c r="E15" s="384"/>
      <c r="F15" s="384"/>
      <c r="G15" s="384"/>
      <c r="H15" s="384"/>
      <c r="I15" s="384"/>
      <c r="J15" s="384"/>
      <c r="K15" s="385"/>
    </row>
    <row r="16" spans="1:13" ht="60" customHeight="1">
      <c r="A16" s="386"/>
      <c r="B16" s="387"/>
      <c r="C16" s="387"/>
      <c r="D16" s="387"/>
      <c r="E16" s="387"/>
      <c r="F16" s="387"/>
      <c r="G16" s="387"/>
      <c r="H16" s="574" t="s">
        <v>223</v>
      </c>
      <c r="I16" s="575"/>
      <c r="J16" s="388">
        <f>SQRT(J7^2+J8^2+J9^2+J10^2+J11^2+J12^2+J13^2)</f>
        <v>6.4673539153711601E-2</v>
      </c>
      <c r="K16" s="389">
        <f>SUM(K7:K15)</f>
        <v>0.99999999999999989</v>
      </c>
    </row>
    <row r="17" spans="1:11" ht="87.75" customHeight="1">
      <c r="A17" s="386"/>
      <c r="B17" s="387"/>
      <c r="C17" s="387"/>
      <c r="D17" s="387"/>
      <c r="E17" s="387"/>
      <c r="F17" s="387"/>
      <c r="G17" s="387"/>
      <c r="H17" s="576" t="s">
        <v>224</v>
      </c>
      <c r="I17" s="572"/>
      <c r="J17" s="390">
        <v>2</v>
      </c>
      <c r="K17" s="391"/>
    </row>
    <row r="18" spans="1:11" ht="81.75" customHeight="1">
      <c r="A18" s="392"/>
      <c r="B18" s="387"/>
      <c r="C18" s="387"/>
      <c r="D18" s="387"/>
      <c r="E18" s="387"/>
      <c r="F18" s="387"/>
      <c r="G18" s="387"/>
      <c r="H18" s="576" t="s">
        <v>225</v>
      </c>
      <c r="I18" s="573"/>
      <c r="J18" s="388">
        <f>J16*J17</f>
        <v>0.1293470783074232</v>
      </c>
      <c r="K18" s="387"/>
    </row>
    <row r="19" spans="1:11" ht="55.5" customHeight="1">
      <c r="A19" s="386"/>
      <c r="B19" s="387"/>
      <c r="C19" s="387"/>
      <c r="D19" s="387"/>
      <c r="E19" s="387"/>
      <c r="F19" s="387"/>
      <c r="G19" s="387"/>
      <c r="H19" s="393"/>
      <c r="I19" s="393"/>
      <c r="J19" s="394">
        <f>J18</f>
        <v>0.1293470783074232</v>
      </c>
      <c r="K19" s="387"/>
    </row>
    <row r="20" spans="1:11" ht="15" customHeight="1">
      <c r="A20" s="395"/>
      <c r="B20" s="395"/>
      <c r="C20" s="395"/>
      <c r="D20" s="395"/>
      <c r="E20" s="395"/>
      <c r="F20" s="395"/>
      <c r="G20" s="395"/>
      <c r="H20" s="395"/>
      <c r="I20" s="395"/>
      <c r="J20" s="395"/>
      <c r="K20" s="395"/>
    </row>
    <row r="21" spans="1:11" ht="15" customHeight="1">
      <c r="A21" s="395"/>
      <c r="B21" s="395"/>
      <c r="C21" s="395"/>
      <c r="D21" s="395"/>
      <c r="E21" s="395"/>
      <c r="F21" s="395"/>
      <c r="G21" s="395"/>
      <c r="H21" s="395"/>
      <c r="I21" s="395"/>
      <c r="J21" s="395"/>
      <c r="K21" s="395"/>
    </row>
    <row r="22" spans="1:11" ht="15" customHeight="1">
      <c r="A22" s="396"/>
      <c r="B22" s="396"/>
      <c r="C22" s="396"/>
      <c r="D22" s="396"/>
      <c r="E22" s="396"/>
      <c r="F22" s="396"/>
      <c r="G22" s="396"/>
      <c r="H22" s="396"/>
      <c r="I22" s="396"/>
      <c r="J22" s="396"/>
      <c r="K22" s="396"/>
    </row>
    <row r="23" spans="1:11" ht="15" customHeight="1">
      <c r="A23" s="396"/>
      <c r="B23" s="396"/>
      <c r="C23" s="396"/>
      <c r="D23" s="396"/>
      <c r="E23" s="396"/>
      <c r="F23" s="396"/>
      <c r="G23" s="396"/>
      <c r="H23" s="396"/>
      <c r="I23" s="396"/>
      <c r="J23" s="396"/>
      <c r="K23" s="396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algorithmName="SHA-512" hashValue="x1KTMDBxmCyWOw0FSjXq3mTYqgHHQLDANH03/jLU9i77Kmk9v90Fs/RjKMnf3KyuzhQYDVdVy2XrIocuubRqag==" saltValue="TRquzxO/dY/UfNNq1tpYMg==" spinCount="100000" sheet="1" objects="1" scenarios="1"/>
  <mergeCells count="17">
    <mergeCell ref="A5:C5"/>
    <mergeCell ref="D5:H5"/>
    <mergeCell ref="H16:I16"/>
    <mergeCell ref="H17:I17"/>
    <mergeCell ref="H18:I18"/>
    <mergeCell ref="B3:D3"/>
    <mergeCell ref="H3:I3"/>
    <mergeCell ref="J3:K3"/>
    <mergeCell ref="B4:C4"/>
    <mergeCell ref="D4:E4"/>
    <mergeCell ref="A1:C1"/>
    <mergeCell ref="D1:F1"/>
    <mergeCell ref="I1:J1"/>
    <mergeCell ref="B2:D2"/>
    <mergeCell ref="F2:G2"/>
    <mergeCell ref="H2:I2"/>
    <mergeCell ref="J2:K2"/>
  </mergeCells>
  <pageMargins left="0.25" right="0.25" top="0.75" bottom="0.75" header="0" footer="0"/>
  <pageSetup orientation="portrait" useFirstPageNumber="1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  <pageSetUpPr fitToPage="1"/>
  </sheetPr>
  <dimension ref="A1:I1000"/>
  <sheetViews>
    <sheetView zoomScale="57" zoomScaleNormal="100" workbookViewId="0"/>
  </sheetViews>
  <sheetFormatPr baseColWidth="10" defaultColWidth="14.44140625" defaultRowHeight="14.4"/>
  <cols>
    <col min="1" max="1" width="45.109375" customWidth="1"/>
    <col min="2" max="2" width="75.6640625" customWidth="1"/>
    <col min="3" max="3" width="122.33203125" customWidth="1"/>
    <col min="4" max="4" width="42.33203125" customWidth="1"/>
    <col min="5" max="5" width="62" customWidth="1"/>
    <col min="6" max="7" width="43.5546875" customWidth="1"/>
    <col min="8" max="8" width="10.6640625" customWidth="1"/>
    <col min="9" max="9" width="29.6640625" customWidth="1"/>
    <col min="10" max="26" width="10.6640625" customWidth="1"/>
  </cols>
  <sheetData>
    <row r="1" spans="1:9" ht="14.4" customHeight="1">
      <c r="A1" s="397" t="s">
        <v>226</v>
      </c>
      <c r="B1" s="397" t="s">
        <v>227</v>
      </c>
      <c r="C1" s="397" t="s">
        <v>228</v>
      </c>
      <c r="D1" s="397" t="s">
        <v>229</v>
      </c>
      <c r="E1" s="397" t="s">
        <v>230</v>
      </c>
      <c r="F1" s="397" t="s">
        <v>231</v>
      </c>
      <c r="G1" s="397" t="s">
        <v>232</v>
      </c>
      <c r="H1" s="398" t="s">
        <v>233</v>
      </c>
      <c r="I1" s="398" t="s">
        <v>234</v>
      </c>
    </row>
    <row r="2" spans="1:9" ht="28.8" customHeight="1">
      <c r="A2" s="399" t="s">
        <v>235</v>
      </c>
      <c r="B2" s="399" t="s">
        <v>236</v>
      </c>
      <c r="C2" s="399" t="s">
        <v>237</v>
      </c>
      <c r="D2" s="399" t="s">
        <v>238</v>
      </c>
      <c r="E2" s="399" t="s">
        <v>239</v>
      </c>
      <c r="F2" s="399" t="s">
        <v>240</v>
      </c>
      <c r="G2" s="400" t="s">
        <v>103</v>
      </c>
      <c r="H2" s="399" t="s">
        <v>241</v>
      </c>
      <c r="I2" s="401" t="s">
        <v>242</v>
      </c>
    </row>
    <row r="3" spans="1:9" ht="14.4" customHeight="1">
      <c r="A3" s="402" t="s">
        <v>243</v>
      </c>
      <c r="B3" s="402" t="s">
        <v>244</v>
      </c>
      <c r="C3" s="402" t="s">
        <v>245</v>
      </c>
      <c r="D3" s="402" t="s">
        <v>246</v>
      </c>
      <c r="E3" s="403" t="s">
        <v>247</v>
      </c>
      <c r="F3" s="402">
        <v>8114311770</v>
      </c>
      <c r="G3" s="400" t="s">
        <v>103</v>
      </c>
      <c r="H3" s="402" t="s">
        <v>248</v>
      </c>
      <c r="I3" s="403" t="s">
        <v>103</v>
      </c>
    </row>
    <row r="4" spans="1:9" ht="14.4" customHeight="1">
      <c r="A4" s="399" t="s">
        <v>249</v>
      </c>
      <c r="B4" s="399" t="s">
        <v>250</v>
      </c>
      <c r="C4" s="399" t="s">
        <v>251</v>
      </c>
      <c r="D4" s="399" t="s">
        <v>252</v>
      </c>
      <c r="E4" s="399" t="s">
        <v>253</v>
      </c>
      <c r="F4" s="399">
        <v>81827856</v>
      </c>
      <c r="G4" s="400" t="s">
        <v>103</v>
      </c>
      <c r="H4" s="399" t="s">
        <v>241</v>
      </c>
      <c r="I4" s="401" t="s">
        <v>103</v>
      </c>
    </row>
    <row r="5" spans="1:9" ht="14.4" customHeight="1">
      <c r="A5" s="402" t="s">
        <v>254</v>
      </c>
      <c r="B5" s="402" t="s">
        <v>255</v>
      </c>
      <c r="C5" s="402" t="s">
        <v>256</v>
      </c>
      <c r="D5" s="402" t="s">
        <v>257</v>
      </c>
      <c r="E5" s="403" t="s">
        <v>258</v>
      </c>
      <c r="F5" s="402">
        <v>8119711086</v>
      </c>
      <c r="G5" s="402">
        <v>1025</v>
      </c>
      <c r="H5" s="402" t="s">
        <v>241</v>
      </c>
      <c r="I5" s="403" t="s">
        <v>103</v>
      </c>
    </row>
    <row r="6" spans="1:9" ht="14.4" customHeight="1">
      <c r="A6" s="399" t="s">
        <v>259</v>
      </c>
      <c r="B6" s="399" t="s">
        <v>260</v>
      </c>
      <c r="C6" s="399" t="s">
        <v>261</v>
      </c>
      <c r="D6" s="399" t="s">
        <v>262</v>
      </c>
      <c r="E6" s="399" t="s">
        <v>263</v>
      </c>
      <c r="F6" s="399">
        <v>811720603</v>
      </c>
      <c r="G6" s="402" t="s">
        <v>103</v>
      </c>
      <c r="H6" s="399"/>
      <c r="I6" s="401"/>
    </row>
    <row r="7" spans="1:9" ht="14.4" customHeight="1">
      <c r="A7" s="402" t="s">
        <v>264</v>
      </c>
      <c r="B7" s="402" t="s">
        <v>265</v>
      </c>
      <c r="C7" s="402" t="s">
        <v>266</v>
      </c>
      <c r="D7" s="402" t="s">
        <v>267</v>
      </c>
      <c r="E7" s="403" t="s">
        <v>268</v>
      </c>
      <c r="F7" s="402" t="s">
        <v>103</v>
      </c>
      <c r="G7" s="402" t="s">
        <v>103</v>
      </c>
      <c r="H7" s="402" t="s">
        <v>269</v>
      </c>
      <c r="I7" s="403" t="s">
        <v>103</v>
      </c>
    </row>
    <row r="8" spans="1:9" ht="14.4" customHeight="1">
      <c r="A8" s="399" t="s">
        <v>270</v>
      </c>
      <c r="B8" s="399" t="s">
        <v>270</v>
      </c>
      <c r="C8" s="399" t="s">
        <v>271</v>
      </c>
      <c r="D8" s="399" t="s">
        <v>272</v>
      </c>
      <c r="E8" s="399" t="s">
        <v>273</v>
      </c>
      <c r="F8" s="399">
        <v>8127557359</v>
      </c>
      <c r="G8" s="402" t="s">
        <v>103</v>
      </c>
      <c r="H8" s="399" t="s">
        <v>241</v>
      </c>
      <c r="I8" s="401" t="s">
        <v>103</v>
      </c>
    </row>
    <row r="9" spans="1:9" ht="14.4" customHeight="1">
      <c r="A9" s="402" t="s">
        <v>274</v>
      </c>
      <c r="B9" s="402" t="s">
        <v>275</v>
      </c>
      <c r="C9" s="402" t="s">
        <v>276</v>
      </c>
      <c r="D9" s="402" t="s">
        <v>277</v>
      </c>
      <c r="E9" s="404" t="s">
        <v>278</v>
      </c>
      <c r="F9" s="402" t="s">
        <v>279</v>
      </c>
      <c r="G9" s="402">
        <v>5593</v>
      </c>
      <c r="H9" s="402" t="s">
        <v>241</v>
      </c>
      <c r="I9" s="403" t="s">
        <v>103</v>
      </c>
    </row>
    <row r="10" spans="1:9" ht="14.4" customHeight="1">
      <c r="A10" s="402" t="s">
        <v>280</v>
      </c>
      <c r="B10" s="405" t="s">
        <v>281</v>
      </c>
      <c r="C10" s="405" t="s">
        <v>282</v>
      </c>
      <c r="D10" s="402" t="s">
        <v>283</v>
      </c>
      <c r="E10" s="406" t="s">
        <v>284</v>
      </c>
      <c r="F10" s="402">
        <v>8115629273</v>
      </c>
      <c r="G10" s="402" t="s">
        <v>103</v>
      </c>
      <c r="H10" s="402"/>
      <c r="I10" s="403"/>
    </row>
    <row r="11" spans="1:9" ht="43.2" customHeight="1">
      <c r="A11" s="399" t="s">
        <v>285</v>
      </c>
      <c r="B11" s="399" t="s">
        <v>286</v>
      </c>
      <c r="C11" s="399" t="s">
        <v>287</v>
      </c>
      <c r="D11" s="399" t="s">
        <v>288</v>
      </c>
      <c r="E11" s="399" t="s">
        <v>289</v>
      </c>
      <c r="F11" s="399" t="s">
        <v>290</v>
      </c>
      <c r="G11" s="402">
        <v>5939</v>
      </c>
      <c r="H11" s="399" t="s">
        <v>241</v>
      </c>
      <c r="I11" s="401" t="s">
        <v>291</v>
      </c>
    </row>
    <row r="12" spans="1:9" ht="72" customHeight="1">
      <c r="A12" s="402" t="s">
        <v>292</v>
      </c>
      <c r="B12" s="402" t="s">
        <v>286</v>
      </c>
      <c r="C12" s="402" t="s">
        <v>287</v>
      </c>
      <c r="D12" s="402" t="s">
        <v>293</v>
      </c>
      <c r="E12" s="407" t="s">
        <v>294</v>
      </c>
      <c r="F12" s="402" t="s">
        <v>295</v>
      </c>
      <c r="G12" s="402">
        <v>5939</v>
      </c>
      <c r="H12" s="402" t="s">
        <v>241</v>
      </c>
      <c r="I12" s="403" t="s">
        <v>296</v>
      </c>
    </row>
    <row r="13" spans="1:9" ht="33" customHeight="1">
      <c r="A13" s="402" t="s">
        <v>297</v>
      </c>
      <c r="B13" s="402" t="s">
        <v>298</v>
      </c>
      <c r="C13" s="402" t="s">
        <v>299</v>
      </c>
      <c r="D13" s="402" t="s">
        <v>300</v>
      </c>
      <c r="E13" s="403" t="s">
        <v>301</v>
      </c>
      <c r="F13" s="402" t="s">
        <v>302</v>
      </c>
      <c r="G13" s="402" t="s">
        <v>103</v>
      </c>
      <c r="H13" s="399" t="s">
        <v>241</v>
      </c>
      <c r="I13" s="401" t="s">
        <v>103</v>
      </c>
    </row>
    <row r="14" spans="1:9" ht="14.4" customHeight="1">
      <c r="A14" s="402" t="s">
        <v>303</v>
      </c>
      <c r="B14" s="402" t="s">
        <v>304</v>
      </c>
      <c r="C14" s="402" t="s">
        <v>305</v>
      </c>
      <c r="D14" s="402" t="s">
        <v>306</v>
      </c>
      <c r="E14" s="406" t="s">
        <v>307</v>
      </c>
      <c r="F14" s="402">
        <v>8131458615</v>
      </c>
      <c r="G14" s="402" t="s">
        <v>103</v>
      </c>
      <c r="H14" s="402" t="s">
        <v>241</v>
      </c>
      <c r="I14" s="403" t="s">
        <v>103</v>
      </c>
    </row>
    <row r="15" spans="1:9" ht="26.25" customHeight="1">
      <c r="A15" s="399" t="s">
        <v>308</v>
      </c>
      <c r="B15" s="399" t="s">
        <v>309</v>
      </c>
      <c r="C15" s="399" t="s">
        <v>310</v>
      </c>
      <c r="D15" s="399" t="s">
        <v>311</v>
      </c>
      <c r="E15" s="399" t="s">
        <v>312</v>
      </c>
      <c r="F15" s="399" t="s">
        <v>313</v>
      </c>
      <c r="G15" s="402" t="s">
        <v>103</v>
      </c>
      <c r="H15" s="402"/>
      <c r="I15" s="403" t="s">
        <v>103</v>
      </c>
    </row>
    <row r="16" spans="1:9" ht="14.4" customHeight="1">
      <c r="A16" s="402" t="s">
        <v>314</v>
      </c>
      <c r="B16" s="402" t="s">
        <v>315</v>
      </c>
      <c r="C16" s="402" t="s">
        <v>316</v>
      </c>
      <c r="D16" s="402" t="s">
        <v>317</v>
      </c>
      <c r="E16" s="403" t="s">
        <v>318</v>
      </c>
      <c r="F16" s="402">
        <v>83934455</v>
      </c>
      <c r="G16" s="402">
        <v>213</v>
      </c>
      <c r="H16" s="399" t="s">
        <v>241</v>
      </c>
      <c r="I16" s="401" t="s">
        <v>103</v>
      </c>
    </row>
    <row r="17" spans="1:9" ht="14.4" customHeight="1">
      <c r="A17" s="399" t="s">
        <v>319</v>
      </c>
      <c r="B17" s="399" t="s">
        <v>320</v>
      </c>
      <c r="C17" s="399" t="s">
        <v>321</v>
      </c>
      <c r="D17" s="399" t="s">
        <v>322</v>
      </c>
      <c r="E17" s="399" t="s">
        <v>323</v>
      </c>
      <c r="F17" s="399" t="s">
        <v>324</v>
      </c>
      <c r="G17" s="402" t="s">
        <v>103</v>
      </c>
      <c r="H17" s="402" t="s">
        <v>241</v>
      </c>
      <c r="I17" s="403" t="s">
        <v>103</v>
      </c>
    </row>
    <row r="18" spans="1:9" ht="14.4" customHeight="1">
      <c r="A18" s="402" t="s">
        <v>325</v>
      </c>
      <c r="B18" s="402" t="s">
        <v>320</v>
      </c>
      <c r="C18" s="402" t="s">
        <v>321</v>
      </c>
      <c r="D18" s="402" t="s">
        <v>326</v>
      </c>
      <c r="E18" s="403" t="s">
        <v>327</v>
      </c>
      <c r="F18" s="402" t="s">
        <v>328</v>
      </c>
      <c r="G18" s="402" t="s">
        <v>103</v>
      </c>
      <c r="H18" s="399" t="s">
        <v>241</v>
      </c>
      <c r="I18" s="401" t="s">
        <v>103</v>
      </c>
    </row>
    <row r="19" spans="1:9" ht="14.4" customHeight="1">
      <c r="A19" s="399" t="s">
        <v>329</v>
      </c>
      <c r="B19" s="399" t="s">
        <v>330</v>
      </c>
      <c r="C19" s="399" t="s">
        <v>331</v>
      </c>
      <c r="D19" s="399" t="s">
        <v>332</v>
      </c>
      <c r="E19" s="399" t="s">
        <v>333</v>
      </c>
      <c r="F19" s="399">
        <v>8212140300</v>
      </c>
      <c r="G19" s="402" t="s">
        <v>103</v>
      </c>
      <c r="H19" s="402" t="s">
        <v>241</v>
      </c>
      <c r="I19" s="403" t="s">
        <v>103</v>
      </c>
    </row>
    <row r="20" spans="1:9" ht="14.4" customHeight="1">
      <c r="A20" s="402" t="s">
        <v>334</v>
      </c>
      <c r="B20" s="402" t="s">
        <v>335</v>
      </c>
      <c r="C20" s="402" t="s">
        <v>336</v>
      </c>
      <c r="D20" s="402" t="s">
        <v>337</v>
      </c>
      <c r="E20" s="403" t="s">
        <v>338</v>
      </c>
      <c r="F20" s="402">
        <v>8444010025</v>
      </c>
      <c r="G20" s="402" t="s">
        <v>103</v>
      </c>
      <c r="H20" s="399" t="s">
        <v>241</v>
      </c>
      <c r="I20" s="401" t="s">
        <v>103</v>
      </c>
    </row>
    <row r="21" spans="1:9" ht="15.75" customHeight="1">
      <c r="A21" s="399" t="s">
        <v>339</v>
      </c>
      <c r="B21" s="399" t="s">
        <v>340</v>
      </c>
      <c r="C21" s="399" t="s">
        <v>341</v>
      </c>
      <c r="D21" s="399" t="s">
        <v>342</v>
      </c>
      <c r="E21" s="399" t="s">
        <v>343</v>
      </c>
      <c r="F21" s="399">
        <v>8441715352</v>
      </c>
      <c r="G21" s="402" t="s">
        <v>103</v>
      </c>
      <c r="H21" s="402" t="s">
        <v>241</v>
      </c>
      <c r="I21" s="403" t="s">
        <v>103</v>
      </c>
    </row>
    <row r="22" spans="1:9" ht="15.75" customHeight="1">
      <c r="A22" s="402" t="s">
        <v>344</v>
      </c>
      <c r="B22" s="402" t="s">
        <v>345</v>
      </c>
      <c r="C22" s="402" t="s">
        <v>346</v>
      </c>
      <c r="D22" s="402" t="s">
        <v>347</v>
      </c>
      <c r="E22" s="403" t="s">
        <v>348</v>
      </c>
      <c r="F22" s="402">
        <v>8188514300</v>
      </c>
      <c r="G22" s="402" t="s">
        <v>103</v>
      </c>
      <c r="H22" s="399" t="s">
        <v>269</v>
      </c>
      <c r="I22" s="401" t="s">
        <v>103</v>
      </c>
    </row>
    <row r="23" spans="1:9" ht="15.75" customHeight="1">
      <c r="A23" s="399" t="s">
        <v>349</v>
      </c>
      <c r="B23" s="399" t="s">
        <v>350</v>
      </c>
      <c r="C23" s="399" t="s">
        <v>351</v>
      </c>
      <c r="D23" s="399" t="s">
        <v>352</v>
      </c>
      <c r="E23" s="399" t="s">
        <v>353</v>
      </c>
      <c r="F23" s="399">
        <v>8443090100</v>
      </c>
      <c r="G23" s="402" t="s">
        <v>103</v>
      </c>
      <c r="H23" s="402" t="s">
        <v>241</v>
      </c>
      <c r="I23" s="403" t="s">
        <v>103</v>
      </c>
    </row>
    <row r="24" spans="1:9" ht="15.75" customHeight="1">
      <c r="A24" s="402" t="s">
        <v>354</v>
      </c>
      <c r="B24" s="402" t="s">
        <v>355</v>
      </c>
      <c r="C24" s="402" t="s">
        <v>356</v>
      </c>
      <c r="D24" s="402" t="s">
        <v>357</v>
      </c>
      <c r="E24" s="403" t="s">
        <v>358</v>
      </c>
      <c r="F24" s="402" t="s">
        <v>359</v>
      </c>
      <c r="G24" s="402" t="s">
        <v>103</v>
      </c>
      <c r="H24" s="399" t="s">
        <v>241</v>
      </c>
      <c r="I24" s="401" t="s">
        <v>103</v>
      </c>
    </row>
    <row r="25" spans="1:9" ht="15.75" customHeight="1">
      <c r="A25" s="399" t="s">
        <v>360</v>
      </c>
      <c r="B25" s="399" t="s">
        <v>361</v>
      </c>
      <c r="C25" s="399" t="s">
        <v>362</v>
      </c>
      <c r="D25" s="399" t="s">
        <v>363</v>
      </c>
      <c r="E25" s="399" t="s">
        <v>364</v>
      </c>
      <c r="F25" s="399">
        <v>8110898143</v>
      </c>
      <c r="G25" s="402">
        <v>110</v>
      </c>
      <c r="H25" s="402" t="s">
        <v>241</v>
      </c>
      <c r="I25" s="403" t="s">
        <v>103</v>
      </c>
    </row>
    <row r="26" spans="1:9" ht="15.75" customHeight="1">
      <c r="A26" s="402" t="s">
        <v>365</v>
      </c>
      <c r="B26" s="402" t="s">
        <v>366</v>
      </c>
      <c r="C26" s="402" t="s">
        <v>367</v>
      </c>
      <c r="D26" s="402" t="s">
        <v>342</v>
      </c>
      <c r="E26" s="403" t="s">
        <v>368</v>
      </c>
      <c r="F26" s="402" t="s">
        <v>369</v>
      </c>
      <c r="G26" s="402" t="s">
        <v>103</v>
      </c>
      <c r="H26" s="399" t="s">
        <v>241</v>
      </c>
      <c r="I26" s="401" t="s">
        <v>103</v>
      </c>
    </row>
    <row r="27" spans="1:9" ht="15.75" customHeight="1">
      <c r="A27" s="399" t="s">
        <v>370</v>
      </c>
      <c r="B27" s="399" t="s">
        <v>371</v>
      </c>
      <c r="C27" s="399" t="s">
        <v>372</v>
      </c>
      <c r="D27" s="399" t="s">
        <v>342</v>
      </c>
      <c r="E27" s="399" t="s">
        <v>373</v>
      </c>
      <c r="F27" s="399" t="s">
        <v>374</v>
      </c>
      <c r="G27" s="402" t="s">
        <v>103</v>
      </c>
      <c r="H27" s="402" t="s">
        <v>241</v>
      </c>
      <c r="I27" s="403" t="s">
        <v>375</v>
      </c>
    </row>
    <row r="28" spans="1:9" ht="15.75" customHeight="1">
      <c r="A28" s="402" t="s">
        <v>376</v>
      </c>
      <c r="B28" s="402" t="s">
        <v>377</v>
      </c>
      <c r="C28" s="402" t="s">
        <v>378</v>
      </c>
      <c r="D28" s="402" t="s">
        <v>379</v>
      </c>
      <c r="E28" s="403" t="s">
        <v>380</v>
      </c>
      <c r="F28" s="402">
        <v>8180731160</v>
      </c>
      <c r="G28" s="402" t="s">
        <v>103</v>
      </c>
      <c r="H28" s="399" t="s">
        <v>241</v>
      </c>
      <c r="I28" s="401" t="s">
        <v>103</v>
      </c>
    </row>
    <row r="29" spans="1:9" ht="15.75" customHeight="1">
      <c r="A29" s="399" t="s">
        <v>381</v>
      </c>
      <c r="B29" s="399" t="s">
        <v>382</v>
      </c>
      <c r="C29" s="399" t="s">
        <v>383</v>
      </c>
      <c r="D29" s="399" t="s">
        <v>384</v>
      </c>
      <c r="E29" s="399" t="s">
        <v>385</v>
      </c>
      <c r="F29" s="399">
        <v>8182202340</v>
      </c>
      <c r="G29" s="402" t="s">
        <v>103</v>
      </c>
      <c r="H29" s="402" t="s">
        <v>241</v>
      </c>
      <c r="I29" s="403" t="s">
        <v>103</v>
      </c>
    </row>
    <row r="30" spans="1:9" ht="15.75" customHeight="1">
      <c r="A30" s="402" t="s">
        <v>386</v>
      </c>
      <c r="B30" s="402" t="s">
        <v>387</v>
      </c>
      <c r="C30" s="402" t="s">
        <v>388</v>
      </c>
      <c r="D30" s="402" t="s">
        <v>389</v>
      </c>
      <c r="E30" s="404" t="s">
        <v>390</v>
      </c>
      <c r="F30" s="402" t="s">
        <v>391</v>
      </c>
      <c r="G30" s="402" t="s">
        <v>103</v>
      </c>
      <c r="H30" s="399" t="s">
        <v>241</v>
      </c>
      <c r="I30" s="401" t="s">
        <v>103</v>
      </c>
    </row>
    <row r="31" spans="1:9" ht="15.75" customHeight="1">
      <c r="A31" s="399" t="s">
        <v>392</v>
      </c>
      <c r="B31" s="399" t="s">
        <v>393</v>
      </c>
      <c r="C31" s="399" t="s">
        <v>394</v>
      </c>
      <c r="D31" s="399" t="s">
        <v>395</v>
      </c>
      <c r="E31" s="408" t="s">
        <v>396</v>
      </c>
      <c r="F31" s="399" t="s">
        <v>397</v>
      </c>
      <c r="G31" s="402" t="s">
        <v>103</v>
      </c>
      <c r="H31" s="402" t="s">
        <v>269</v>
      </c>
      <c r="I31" s="403" t="s">
        <v>103</v>
      </c>
    </row>
    <row r="32" spans="1:9" ht="15.75" customHeight="1">
      <c r="A32" s="402" t="s">
        <v>398</v>
      </c>
      <c r="B32" s="402" t="s">
        <v>399</v>
      </c>
      <c r="C32" s="402" t="s">
        <v>400</v>
      </c>
      <c r="D32" s="402" t="s">
        <v>401</v>
      </c>
      <c r="E32" s="404" t="s">
        <v>402</v>
      </c>
      <c r="F32" s="402" t="s">
        <v>403</v>
      </c>
      <c r="G32" s="402" t="s">
        <v>103</v>
      </c>
      <c r="H32" s="399" t="s">
        <v>241</v>
      </c>
      <c r="I32" s="401" t="s">
        <v>404</v>
      </c>
    </row>
    <row r="33" spans="1:9" ht="15.75" customHeight="1">
      <c r="A33" s="399" t="s">
        <v>405</v>
      </c>
      <c r="B33" s="399" t="s">
        <v>406</v>
      </c>
      <c r="C33" s="399" t="s">
        <v>407</v>
      </c>
      <c r="D33" s="399" t="s">
        <v>408</v>
      </c>
      <c r="E33" s="408" t="s">
        <v>409</v>
      </c>
      <c r="F33" s="399">
        <v>8189895588</v>
      </c>
      <c r="G33" s="402" t="s">
        <v>103</v>
      </c>
      <c r="H33" s="402" t="s">
        <v>241</v>
      </c>
      <c r="I33" s="403" t="s">
        <v>103</v>
      </c>
    </row>
    <row r="34" spans="1:9" ht="15.75" customHeight="1">
      <c r="A34" s="402" t="s">
        <v>410</v>
      </c>
      <c r="B34" s="402" t="s">
        <v>411</v>
      </c>
      <c r="C34" s="402" t="s">
        <v>412</v>
      </c>
      <c r="D34" s="402" t="s">
        <v>413</v>
      </c>
      <c r="E34" s="404" t="s">
        <v>414</v>
      </c>
      <c r="F34" s="402" t="s">
        <v>415</v>
      </c>
      <c r="G34" s="402" t="s">
        <v>103</v>
      </c>
      <c r="H34" s="399" t="s">
        <v>269</v>
      </c>
      <c r="I34" s="401" t="s">
        <v>103</v>
      </c>
    </row>
    <row r="35" spans="1:9" ht="15.75" customHeight="1">
      <c r="A35" s="399" t="s">
        <v>416</v>
      </c>
      <c r="B35" s="399" t="s">
        <v>417</v>
      </c>
      <c r="C35" s="399" t="s">
        <v>103</v>
      </c>
      <c r="D35" s="399" t="s">
        <v>418</v>
      </c>
      <c r="E35" s="399" t="s">
        <v>419</v>
      </c>
      <c r="F35" s="399">
        <v>4921464330</v>
      </c>
      <c r="G35" s="402" t="s">
        <v>103</v>
      </c>
      <c r="H35" s="402" t="s">
        <v>241</v>
      </c>
      <c r="I35" s="403" t="s">
        <v>103</v>
      </c>
    </row>
    <row r="36" spans="1:9" ht="15.75" customHeight="1">
      <c r="A36" s="402" t="s">
        <v>420</v>
      </c>
      <c r="B36" s="402" t="s">
        <v>421</v>
      </c>
      <c r="C36" s="402" t="s">
        <v>422</v>
      </c>
      <c r="D36" s="402" t="s">
        <v>423</v>
      </c>
      <c r="E36" s="403" t="s">
        <v>424</v>
      </c>
      <c r="F36" s="402" t="s">
        <v>425</v>
      </c>
      <c r="G36" s="402" t="s">
        <v>103</v>
      </c>
      <c r="H36" s="399" t="s">
        <v>241</v>
      </c>
      <c r="I36" s="401" t="s">
        <v>103</v>
      </c>
    </row>
    <row r="37" spans="1:9" ht="15.75" customHeight="1">
      <c r="A37" s="399" t="s">
        <v>426</v>
      </c>
      <c r="B37" s="399" t="s">
        <v>427</v>
      </c>
      <c r="C37" s="399" t="s">
        <v>428</v>
      </c>
      <c r="D37" s="399" t="s">
        <v>429</v>
      </c>
      <c r="E37" s="408" t="s">
        <v>430</v>
      </c>
      <c r="F37" s="399" t="s">
        <v>431</v>
      </c>
      <c r="G37" s="402" t="s">
        <v>103</v>
      </c>
      <c r="H37" s="402" t="s">
        <v>269</v>
      </c>
      <c r="I37" s="403" t="s">
        <v>432</v>
      </c>
    </row>
    <row r="38" spans="1:9" ht="15.75" customHeight="1">
      <c r="A38" s="402" t="s">
        <v>433</v>
      </c>
      <c r="B38" s="402" t="s">
        <v>434</v>
      </c>
      <c r="C38" s="402" t="s">
        <v>435</v>
      </c>
      <c r="D38" s="402" t="s">
        <v>436</v>
      </c>
      <c r="E38" s="404" t="s">
        <v>437</v>
      </c>
      <c r="F38" s="402" t="s">
        <v>438</v>
      </c>
      <c r="G38" s="402" t="s">
        <v>103</v>
      </c>
      <c r="H38" s="399" t="s">
        <v>269</v>
      </c>
      <c r="I38" s="401" t="s">
        <v>103</v>
      </c>
    </row>
    <row r="39" spans="1:9" ht="15.75" customHeight="1">
      <c r="A39" s="399" t="s">
        <v>439</v>
      </c>
      <c r="B39" s="399" t="s">
        <v>440</v>
      </c>
      <c r="C39" s="399" t="s">
        <v>441</v>
      </c>
      <c r="D39" s="399" t="s">
        <v>442</v>
      </c>
      <c r="E39" s="399" t="s">
        <v>443</v>
      </c>
      <c r="F39" s="399" t="s">
        <v>444</v>
      </c>
      <c r="G39" s="402" t="s">
        <v>103</v>
      </c>
      <c r="H39" s="402" t="s">
        <v>241</v>
      </c>
      <c r="I39" s="403" t="s">
        <v>103</v>
      </c>
    </row>
    <row r="40" spans="1:9" ht="15.75" customHeight="1">
      <c r="A40" s="402" t="s">
        <v>445</v>
      </c>
      <c r="B40" s="402" t="s">
        <v>446</v>
      </c>
      <c r="C40" s="402" t="s">
        <v>447</v>
      </c>
      <c r="D40" s="402" t="s">
        <v>448</v>
      </c>
      <c r="E40" s="403" t="s">
        <v>449</v>
      </c>
      <c r="F40" s="402" t="s">
        <v>450</v>
      </c>
      <c r="G40" s="402" t="s">
        <v>103</v>
      </c>
      <c r="H40" s="399" t="s">
        <v>241</v>
      </c>
      <c r="I40" s="401" t="s">
        <v>103</v>
      </c>
    </row>
    <row r="41" spans="1:9" ht="15.75" customHeight="1">
      <c r="A41" s="399" t="s">
        <v>451</v>
      </c>
      <c r="B41" s="399" t="s">
        <v>452</v>
      </c>
      <c r="C41" s="399" t="s">
        <v>453</v>
      </c>
      <c r="D41" s="399" t="s">
        <v>454</v>
      </c>
      <c r="E41" s="399" t="s">
        <v>455</v>
      </c>
      <c r="F41" s="399">
        <v>8116126312</v>
      </c>
      <c r="G41" s="402" t="s">
        <v>103</v>
      </c>
      <c r="H41" s="402" t="s">
        <v>269</v>
      </c>
      <c r="I41" s="403" t="s">
        <v>103</v>
      </c>
    </row>
    <row r="42" spans="1:9" ht="15.75" customHeight="1">
      <c r="A42" s="402" t="s">
        <v>456</v>
      </c>
      <c r="B42" s="402" t="s">
        <v>457</v>
      </c>
      <c r="C42" s="402" t="s">
        <v>458</v>
      </c>
      <c r="D42" s="402" t="s">
        <v>459</v>
      </c>
      <c r="E42" s="403" t="s">
        <v>460</v>
      </c>
      <c r="F42" s="402">
        <v>8444440211</v>
      </c>
      <c r="G42" s="402" t="s">
        <v>103</v>
      </c>
      <c r="H42" s="399" t="s">
        <v>241</v>
      </c>
      <c r="I42" s="401" t="s">
        <v>461</v>
      </c>
    </row>
    <row r="43" spans="1:9" ht="15.75" customHeight="1">
      <c r="A43" s="399" t="s">
        <v>462</v>
      </c>
      <c r="B43" s="399" t="s">
        <v>462</v>
      </c>
      <c r="C43" s="399" t="s">
        <v>463</v>
      </c>
      <c r="D43" s="399" t="s">
        <v>342</v>
      </c>
      <c r="E43" s="408" t="s">
        <v>464</v>
      </c>
      <c r="F43" s="399">
        <v>8120515987</v>
      </c>
      <c r="G43" s="402" t="s">
        <v>103</v>
      </c>
      <c r="H43" s="402" t="s">
        <v>241</v>
      </c>
      <c r="I43" s="403" t="s">
        <v>103</v>
      </c>
    </row>
    <row r="44" spans="1:9" ht="15.75" customHeight="1">
      <c r="A44" s="402" t="s">
        <v>465</v>
      </c>
      <c r="B44" s="402" t="s">
        <v>466</v>
      </c>
      <c r="C44" s="402" t="s">
        <v>467</v>
      </c>
      <c r="D44" s="402" t="s">
        <v>468</v>
      </c>
      <c r="E44" s="404" t="s">
        <v>469</v>
      </c>
      <c r="F44" s="402" t="s">
        <v>470</v>
      </c>
      <c r="G44" s="402" t="s">
        <v>103</v>
      </c>
      <c r="H44" s="399" t="s">
        <v>269</v>
      </c>
      <c r="I44" s="401" t="s">
        <v>103</v>
      </c>
    </row>
    <row r="45" spans="1:9" ht="15.75" customHeight="1">
      <c r="A45" s="399" t="s">
        <v>471</v>
      </c>
      <c r="B45" s="399" t="s">
        <v>472</v>
      </c>
      <c r="C45" s="399" t="s">
        <v>473</v>
      </c>
      <c r="D45" s="399" t="s">
        <v>474</v>
      </c>
      <c r="E45" s="408" t="s">
        <v>475</v>
      </c>
      <c r="F45" s="399" t="s">
        <v>476</v>
      </c>
      <c r="G45" s="402" t="s">
        <v>103</v>
      </c>
      <c r="H45" s="402" t="s">
        <v>241</v>
      </c>
      <c r="I45" s="403" t="s">
        <v>103</v>
      </c>
    </row>
    <row r="46" spans="1:9" ht="15.75" customHeight="1">
      <c r="A46" s="402" t="s">
        <v>477</v>
      </c>
      <c r="B46" s="402" t="s">
        <v>478</v>
      </c>
      <c r="C46" s="402" t="s">
        <v>479</v>
      </c>
      <c r="D46" s="402" t="s">
        <v>480</v>
      </c>
      <c r="E46" s="403" t="s">
        <v>481</v>
      </c>
      <c r="F46" s="402">
        <v>6561444138</v>
      </c>
      <c r="G46" s="402" t="s">
        <v>103</v>
      </c>
      <c r="H46" s="399" t="s">
        <v>241</v>
      </c>
      <c r="I46" s="401" t="s">
        <v>103</v>
      </c>
    </row>
    <row r="47" spans="1:9" ht="15.75" customHeight="1">
      <c r="A47" s="399" t="s">
        <v>482</v>
      </c>
      <c r="B47" s="399" t="s">
        <v>483</v>
      </c>
      <c r="C47" s="399" t="s">
        <v>484</v>
      </c>
      <c r="D47" s="399" t="s">
        <v>485</v>
      </c>
      <c r="E47" s="408" t="s">
        <v>486</v>
      </c>
      <c r="F47" s="399">
        <v>8442837366</v>
      </c>
      <c r="G47" s="402" t="s">
        <v>103</v>
      </c>
      <c r="H47" s="402" t="s">
        <v>241</v>
      </c>
      <c r="I47" s="403" t="s">
        <v>103</v>
      </c>
    </row>
    <row r="48" spans="1:9" ht="15.75" customHeight="1">
      <c r="A48" s="402" t="s">
        <v>487</v>
      </c>
      <c r="B48" s="402" t="s">
        <v>488</v>
      </c>
      <c r="C48" s="402" t="s">
        <v>489</v>
      </c>
      <c r="D48" s="402" t="s">
        <v>490</v>
      </c>
      <c r="E48" s="404" t="s">
        <v>491</v>
      </c>
      <c r="F48" s="402" t="s">
        <v>492</v>
      </c>
      <c r="G48" s="402">
        <v>4071</v>
      </c>
      <c r="H48" s="399" t="s">
        <v>241</v>
      </c>
      <c r="I48" s="401" t="s">
        <v>103</v>
      </c>
    </row>
    <row r="49" spans="1:9" ht="15.75" customHeight="1">
      <c r="A49" s="399" t="s">
        <v>493</v>
      </c>
      <c r="B49" s="399" t="s">
        <v>494</v>
      </c>
      <c r="C49" s="399" t="s">
        <v>495</v>
      </c>
      <c r="D49" s="399" t="s">
        <v>496</v>
      </c>
      <c r="E49" s="399" t="s">
        <v>497</v>
      </c>
      <c r="F49" s="399">
        <v>8112477982</v>
      </c>
      <c r="G49" s="402" t="s">
        <v>103</v>
      </c>
      <c r="H49" s="402" t="s">
        <v>241</v>
      </c>
      <c r="I49" s="403" t="s">
        <v>103</v>
      </c>
    </row>
    <row r="50" spans="1:9" ht="15.75" customHeight="1">
      <c r="A50" s="402" t="s">
        <v>498</v>
      </c>
      <c r="B50" s="402" t="s">
        <v>499</v>
      </c>
      <c r="C50" s="402" t="s">
        <v>500</v>
      </c>
      <c r="D50" s="402" t="s">
        <v>501</v>
      </c>
      <c r="E50" s="404" t="s">
        <v>502</v>
      </c>
      <c r="F50" s="402" t="s">
        <v>503</v>
      </c>
      <c r="G50" s="402" t="s">
        <v>103</v>
      </c>
      <c r="H50" s="399" t="s">
        <v>241</v>
      </c>
      <c r="I50" s="401" t="s">
        <v>103</v>
      </c>
    </row>
    <row r="51" spans="1:9" ht="15.75" customHeight="1">
      <c r="A51" s="399" t="s">
        <v>504</v>
      </c>
      <c r="B51" s="399" t="s">
        <v>505</v>
      </c>
      <c r="C51" s="399" t="s">
        <v>506</v>
      </c>
      <c r="D51" s="399" t="s">
        <v>507</v>
      </c>
      <c r="E51" s="408" t="s">
        <v>508</v>
      </c>
      <c r="F51" s="399" t="s">
        <v>509</v>
      </c>
      <c r="G51" s="402" t="s">
        <v>103</v>
      </c>
      <c r="H51" s="402" t="s">
        <v>241</v>
      </c>
      <c r="I51" s="403" t="s">
        <v>103</v>
      </c>
    </row>
    <row r="52" spans="1:9" ht="15.75" customHeight="1">
      <c r="A52" s="402" t="s">
        <v>510</v>
      </c>
      <c r="B52" s="402" t="s">
        <v>511</v>
      </c>
      <c r="C52" s="402" t="s">
        <v>512</v>
      </c>
      <c r="D52" s="402" t="s">
        <v>513</v>
      </c>
      <c r="E52" s="404" t="s">
        <v>514</v>
      </c>
      <c r="F52" s="402">
        <v>8116236510</v>
      </c>
      <c r="G52" s="402" t="s">
        <v>103</v>
      </c>
      <c r="H52" s="399" t="s">
        <v>269</v>
      </c>
      <c r="I52" s="401" t="s">
        <v>103</v>
      </c>
    </row>
    <row r="53" spans="1:9" ht="15.75" customHeight="1">
      <c r="A53" s="399" t="s">
        <v>515</v>
      </c>
      <c r="B53" s="399" t="s">
        <v>516</v>
      </c>
      <c r="C53" s="399" t="s">
        <v>517</v>
      </c>
      <c r="D53" s="399" t="s">
        <v>518</v>
      </c>
      <c r="E53" s="408" t="s">
        <v>519</v>
      </c>
      <c r="F53" s="399">
        <v>8677455895</v>
      </c>
      <c r="G53" s="402" t="s">
        <v>103</v>
      </c>
      <c r="H53" s="402" t="s">
        <v>241</v>
      </c>
      <c r="I53" s="403" t="s">
        <v>103</v>
      </c>
    </row>
    <row r="54" spans="1:9" ht="15.75" customHeight="1">
      <c r="A54" s="402" t="s">
        <v>520</v>
      </c>
      <c r="B54" s="402" t="s">
        <v>521</v>
      </c>
      <c r="C54" s="402" t="s">
        <v>522</v>
      </c>
      <c r="D54" s="402" t="s">
        <v>523</v>
      </c>
      <c r="E54" s="404" t="s">
        <v>524</v>
      </c>
      <c r="F54" s="402">
        <v>8110785982</v>
      </c>
      <c r="G54" s="402" t="s">
        <v>103</v>
      </c>
      <c r="H54" s="399" t="s">
        <v>241</v>
      </c>
      <c r="I54" s="401" t="s">
        <v>103</v>
      </c>
    </row>
    <row r="55" spans="1:9" ht="15.75" customHeight="1">
      <c r="A55" s="399" t="s">
        <v>525</v>
      </c>
      <c r="B55" s="399" t="s">
        <v>526</v>
      </c>
      <c r="C55" s="399" t="s">
        <v>527</v>
      </c>
      <c r="D55" s="399" t="s">
        <v>528</v>
      </c>
      <c r="E55" s="408" t="s">
        <v>529</v>
      </c>
      <c r="F55" s="399" t="s">
        <v>530</v>
      </c>
      <c r="G55" s="402" t="s">
        <v>103</v>
      </c>
      <c r="H55" s="402" t="s">
        <v>241</v>
      </c>
      <c r="I55" s="403" t="s">
        <v>103</v>
      </c>
    </row>
    <row r="56" spans="1:9" ht="15.75" customHeight="1">
      <c r="A56" s="402" t="s">
        <v>531</v>
      </c>
      <c r="B56" s="402" t="s">
        <v>532</v>
      </c>
      <c r="C56" s="402" t="s">
        <v>533</v>
      </c>
      <c r="D56" s="402" t="s">
        <v>534</v>
      </c>
      <c r="E56" s="403" t="s">
        <v>535</v>
      </c>
      <c r="F56" s="402">
        <v>8116358849</v>
      </c>
      <c r="G56" s="402" t="s">
        <v>103</v>
      </c>
      <c r="H56" s="399" t="s">
        <v>269</v>
      </c>
      <c r="I56" s="401" t="s">
        <v>103</v>
      </c>
    </row>
    <row r="57" spans="1:9" ht="15.75" customHeight="1">
      <c r="A57" s="399" t="s">
        <v>536</v>
      </c>
      <c r="B57" s="399" t="s">
        <v>537</v>
      </c>
      <c r="C57" s="399" t="s">
        <v>538</v>
      </c>
      <c r="D57" s="399" t="s">
        <v>539</v>
      </c>
      <c r="E57" s="408" t="s">
        <v>540</v>
      </c>
      <c r="F57" s="399">
        <v>8444116618</v>
      </c>
      <c r="G57" s="402" t="s">
        <v>103</v>
      </c>
      <c r="H57" s="402" t="s">
        <v>241</v>
      </c>
      <c r="I57" s="403" t="s">
        <v>103</v>
      </c>
    </row>
    <row r="58" spans="1:9" ht="15.75" customHeight="1">
      <c r="A58" s="402" t="s">
        <v>541</v>
      </c>
      <c r="B58" s="402" t="s">
        <v>542</v>
      </c>
      <c r="C58" s="402" t="s">
        <v>543</v>
      </c>
      <c r="D58" s="402" t="s">
        <v>544</v>
      </c>
      <c r="E58" s="403" t="s">
        <v>545</v>
      </c>
      <c r="F58" s="402">
        <v>8113750698</v>
      </c>
      <c r="G58" s="402" t="s">
        <v>103</v>
      </c>
      <c r="H58" s="399" t="s">
        <v>241</v>
      </c>
      <c r="I58" s="401" t="s">
        <v>103</v>
      </c>
    </row>
    <row r="59" spans="1:9" ht="15.75" customHeight="1">
      <c r="A59" s="399" t="s">
        <v>546</v>
      </c>
      <c r="B59" s="399" t="s">
        <v>547</v>
      </c>
      <c r="C59" s="399" t="s">
        <v>548</v>
      </c>
      <c r="D59" s="399" t="s">
        <v>549</v>
      </c>
      <c r="E59" s="408" t="s">
        <v>550</v>
      </c>
      <c r="F59" s="399">
        <v>8183515108</v>
      </c>
      <c r="G59" s="402" t="s">
        <v>103</v>
      </c>
      <c r="H59" s="402" t="s">
        <v>241</v>
      </c>
      <c r="I59" s="403" t="s">
        <v>551</v>
      </c>
    </row>
    <row r="60" spans="1:9" ht="15.75" customHeight="1">
      <c r="A60" s="402" t="s">
        <v>552</v>
      </c>
      <c r="B60" s="402" t="s">
        <v>553</v>
      </c>
      <c r="C60" s="402" t="s">
        <v>554</v>
      </c>
      <c r="D60" s="402" t="s">
        <v>555</v>
      </c>
      <c r="E60" s="404" t="s">
        <v>556</v>
      </c>
      <c r="F60" s="402" t="s">
        <v>557</v>
      </c>
      <c r="G60" s="402" t="s">
        <v>103</v>
      </c>
      <c r="H60" s="399" t="s">
        <v>241</v>
      </c>
      <c r="I60" s="401" t="s">
        <v>103</v>
      </c>
    </row>
    <row r="61" spans="1:9" ht="15.75" customHeight="1">
      <c r="A61" s="399" t="s">
        <v>558</v>
      </c>
      <c r="B61" s="399" t="s">
        <v>559</v>
      </c>
      <c r="C61" s="399" t="s">
        <v>560</v>
      </c>
      <c r="D61" s="399" t="s">
        <v>561</v>
      </c>
      <c r="E61" s="408" t="s">
        <v>562</v>
      </c>
      <c r="F61" s="399">
        <v>8116871249</v>
      </c>
      <c r="G61" s="402" t="s">
        <v>103</v>
      </c>
      <c r="H61" s="402" t="s">
        <v>241</v>
      </c>
      <c r="I61" s="403" t="s">
        <v>103</v>
      </c>
    </row>
    <row r="62" spans="1:9" ht="15.75" customHeight="1">
      <c r="A62" s="402" t="s">
        <v>563</v>
      </c>
      <c r="B62" s="402" t="s">
        <v>564</v>
      </c>
      <c r="C62" s="402" t="s">
        <v>565</v>
      </c>
      <c r="D62" s="402" t="s">
        <v>566</v>
      </c>
      <c r="E62" s="404" t="s">
        <v>567</v>
      </c>
      <c r="F62" s="402" t="s">
        <v>568</v>
      </c>
      <c r="G62" s="402" t="s">
        <v>103</v>
      </c>
      <c r="H62" s="399" t="s">
        <v>241</v>
      </c>
      <c r="I62" s="401" t="s">
        <v>103</v>
      </c>
    </row>
    <row r="63" spans="1:9" ht="15.75" customHeight="1">
      <c r="A63" s="399" t="s">
        <v>569</v>
      </c>
      <c r="B63" s="399" t="s">
        <v>570</v>
      </c>
      <c r="C63" s="399" t="s">
        <v>571</v>
      </c>
      <c r="D63" s="399"/>
      <c r="E63" s="399" t="s">
        <v>572</v>
      </c>
      <c r="F63" s="399" t="s">
        <v>573</v>
      </c>
      <c r="G63" s="402" t="s">
        <v>103</v>
      </c>
      <c r="H63" s="402" t="s">
        <v>241</v>
      </c>
      <c r="I63" s="403" t="s">
        <v>461</v>
      </c>
    </row>
    <row r="64" spans="1:9" ht="15.75" customHeight="1">
      <c r="A64" s="402" t="s">
        <v>574</v>
      </c>
      <c r="B64" s="402" t="s">
        <v>575</v>
      </c>
      <c r="C64" s="402" t="s">
        <v>576</v>
      </c>
      <c r="D64" s="402" t="s">
        <v>577</v>
      </c>
      <c r="E64" s="403" t="s">
        <v>578</v>
      </c>
      <c r="F64" s="402" t="s">
        <v>579</v>
      </c>
      <c r="G64" s="402">
        <v>110</v>
      </c>
      <c r="H64" s="399" t="s">
        <v>241</v>
      </c>
      <c r="I64" s="401"/>
    </row>
    <row r="65" spans="1:9" ht="15.75" customHeight="1">
      <c r="A65" s="399" t="s">
        <v>75</v>
      </c>
      <c r="B65" s="399" t="s">
        <v>580</v>
      </c>
      <c r="C65" s="399" t="s">
        <v>581</v>
      </c>
      <c r="D65" s="399" t="s">
        <v>582</v>
      </c>
      <c r="E65" s="399" t="s">
        <v>583</v>
      </c>
      <c r="F65" s="399" t="s">
        <v>584</v>
      </c>
      <c r="G65" s="402" t="s">
        <v>103</v>
      </c>
      <c r="H65" s="402" t="s">
        <v>241</v>
      </c>
      <c r="I65" s="403" t="s">
        <v>103</v>
      </c>
    </row>
    <row r="66" spans="1:9" ht="15.75" customHeight="1">
      <c r="A66" s="402" t="s">
        <v>585</v>
      </c>
      <c r="B66" s="402" t="s">
        <v>586</v>
      </c>
      <c r="C66" s="402" t="s">
        <v>587</v>
      </c>
      <c r="D66" s="402" t="s">
        <v>588</v>
      </c>
      <c r="E66" s="404" t="s">
        <v>589</v>
      </c>
      <c r="F66" s="402" t="s">
        <v>590</v>
      </c>
      <c r="G66" s="402">
        <v>112</v>
      </c>
      <c r="H66" s="399" t="s">
        <v>241</v>
      </c>
      <c r="I66" s="401" t="s">
        <v>591</v>
      </c>
    </row>
    <row r="67" spans="1:9" ht="15.75" customHeight="1">
      <c r="A67" s="399" t="s">
        <v>592</v>
      </c>
      <c r="B67" s="399" t="s">
        <v>592</v>
      </c>
      <c r="C67" s="399" t="s">
        <v>593</v>
      </c>
      <c r="D67" s="399" t="s">
        <v>594</v>
      </c>
      <c r="E67" s="409" t="s">
        <v>595</v>
      </c>
      <c r="F67" s="399" t="s">
        <v>596</v>
      </c>
      <c r="G67" s="402" t="s">
        <v>103</v>
      </c>
      <c r="H67" s="402" t="s">
        <v>269</v>
      </c>
      <c r="I67" s="403" t="s">
        <v>597</v>
      </c>
    </row>
    <row r="68" spans="1:9" ht="15.75" customHeight="1">
      <c r="A68" s="402" t="s">
        <v>598</v>
      </c>
      <c r="B68" s="402" t="s">
        <v>599</v>
      </c>
      <c r="C68" s="402" t="s">
        <v>600</v>
      </c>
      <c r="D68" s="402" t="s">
        <v>601</v>
      </c>
      <c r="E68" s="403" t="s">
        <v>602</v>
      </c>
      <c r="F68" s="402">
        <v>8183314188</v>
      </c>
      <c r="G68" s="402" t="s">
        <v>103</v>
      </c>
      <c r="H68" s="399" t="s">
        <v>241</v>
      </c>
      <c r="I68" s="401" t="s">
        <v>103</v>
      </c>
    </row>
    <row r="69" spans="1:9" ht="15.75" customHeight="1">
      <c r="A69" s="399" t="s">
        <v>603</v>
      </c>
      <c r="B69" s="399" t="s">
        <v>604</v>
      </c>
      <c r="C69" s="399" t="s">
        <v>605</v>
      </c>
      <c r="D69" s="399" t="s">
        <v>606</v>
      </c>
      <c r="E69" s="399" t="s">
        <v>607</v>
      </c>
      <c r="F69" s="399" t="s">
        <v>608</v>
      </c>
      <c r="G69" s="402" t="s">
        <v>103</v>
      </c>
      <c r="H69" s="402" t="s">
        <v>241</v>
      </c>
      <c r="I69" s="403" t="s">
        <v>551</v>
      </c>
    </row>
    <row r="70" spans="1:9" ht="15.75" customHeight="1">
      <c r="A70" s="402" t="s">
        <v>609</v>
      </c>
      <c r="B70" s="402" t="s">
        <v>610</v>
      </c>
      <c r="C70" s="402" t="s">
        <v>611</v>
      </c>
      <c r="D70" s="402" t="s">
        <v>612</v>
      </c>
      <c r="E70" s="403" t="s">
        <v>613</v>
      </c>
      <c r="F70" s="402" t="s">
        <v>103</v>
      </c>
      <c r="G70" s="402" t="s">
        <v>103</v>
      </c>
      <c r="H70" s="399" t="s">
        <v>241</v>
      </c>
      <c r="I70" s="401" t="s">
        <v>103</v>
      </c>
    </row>
    <row r="71" spans="1:9" ht="15.75" customHeight="1">
      <c r="A71" s="399" t="s">
        <v>614</v>
      </c>
      <c r="B71" s="399" t="s">
        <v>615</v>
      </c>
      <c r="C71" s="399" t="s">
        <v>616</v>
      </c>
      <c r="D71" s="399" t="s">
        <v>617</v>
      </c>
      <c r="E71" s="399" t="s">
        <v>618</v>
      </c>
      <c r="F71" s="399">
        <v>8116381130</v>
      </c>
      <c r="G71" s="402" t="s">
        <v>103</v>
      </c>
      <c r="H71" s="402" t="s">
        <v>241</v>
      </c>
      <c r="I71" s="403" t="s">
        <v>103</v>
      </c>
    </row>
    <row r="72" spans="1:9" ht="15.75" customHeight="1">
      <c r="A72" s="410" t="s">
        <v>619</v>
      </c>
      <c r="B72" s="410" t="s">
        <v>620</v>
      </c>
      <c r="C72" s="410" t="s">
        <v>621</v>
      </c>
      <c r="D72" s="410" t="s">
        <v>622</v>
      </c>
      <c r="E72" s="411" t="s">
        <v>623</v>
      </c>
      <c r="F72" s="410" t="s">
        <v>624</v>
      </c>
      <c r="G72" s="410" t="s">
        <v>103</v>
      </c>
      <c r="H72" s="399" t="s">
        <v>241</v>
      </c>
      <c r="I72" s="401" t="s">
        <v>103</v>
      </c>
    </row>
    <row r="73" spans="1:9" ht="15.75" customHeight="1"/>
    <row r="74" spans="1:9" ht="15.75" customHeight="1"/>
    <row r="75" spans="1:9" ht="15.75" customHeight="1"/>
    <row r="76" spans="1:9" ht="15.75" customHeight="1"/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9" r:id="rId1" xr:uid="{00000000-0004-0000-0500-000000000000}"/>
    <hyperlink ref="E10" r:id="rId2" xr:uid="{00000000-0004-0000-0500-000001000000}"/>
    <hyperlink ref="E12" r:id="rId3" xr:uid="{00000000-0004-0000-0500-000002000000}"/>
    <hyperlink ref="E14" r:id="rId4" xr:uid="{00000000-0004-0000-0500-000003000000}"/>
    <hyperlink ref="E30" r:id="rId5" xr:uid="{00000000-0004-0000-0500-000004000000}"/>
    <hyperlink ref="E31" r:id="rId6" xr:uid="{00000000-0004-0000-0500-000005000000}"/>
    <hyperlink ref="E32" r:id="rId7" xr:uid="{00000000-0004-0000-0500-000006000000}"/>
    <hyperlink ref="E33" r:id="rId8" xr:uid="{00000000-0004-0000-0500-000007000000}"/>
    <hyperlink ref="E34" r:id="rId9" xr:uid="{00000000-0004-0000-0500-000008000000}"/>
    <hyperlink ref="E37" r:id="rId10" xr:uid="{00000000-0004-0000-0500-000009000000}"/>
    <hyperlink ref="E38" r:id="rId11" xr:uid="{00000000-0004-0000-0500-00000A000000}"/>
    <hyperlink ref="E43" r:id="rId12" xr:uid="{00000000-0004-0000-0500-00000B000000}"/>
    <hyperlink ref="E44" r:id="rId13" xr:uid="{00000000-0004-0000-0500-00000C000000}"/>
    <hyperlink ref="E45" r:id="rId14" xr:uid="{00000000-0004-0000-0500-00000D000000}"/>
    <hyperlink ref="E47" r:id="rId15" xr:uid="{00000000-0004-0000-0500-00000E000000}"/>
    <hyperlink ref="E48" r:id="rId16" xr:uid="{00000000-0004-0000-0500-00000F000000}"/>
    <hyperlink ref="E50" r:id="rId17" xr:uid="{00000000-0004-0000-0500-000010000000}"/>
    <hyperlink ref="E51" r:id="rId18" xr:uid="{00000000-0004-0000-0500-000011000000}"/>
    <hyperlink ref="E52" r:id="rId19" xr:uid="{00000000-0004-0000-0500-000012000000}"/>
    <hyperlink ref="E53" r:id="rId20" xr:uid="{00000000-0004-0000-0500-000013000000}"/>
    <hyperlink ref="E54" r:id="rId21" xr:uid="{00000000-0004-0000-0500-000014000000}"/>
    <hyperlink ref="E55" r:id="rId22" xr:uid="{00000000-0004-0000-0500-000015000000}"/>
    <hyperlink ref="E57" r:id="rId23" xr:uid="{00000000-0004-0000-0500-000016000000}"/>
    <hyperlink ref="E59" r:id="rId24" xr:uid="{00000000-0004-0000-0500-000017000000}"/>
    <hyperlink ref="E60" r:id="rId25" xr:uid="{00000000-0004-0000-0500-000018000000}"/>
    <hyperlink ref="E61" r:id="rId26" xr:uid="{00000000-0004-0000-0500-000019000000}"/>
    <hyperlink ref="E62" r:id="rId27" xr:uid="{00000000-0004-0000-0500-00001A000000}"/>
    <hyperlink ref="E66" r:id="rId28" xr:uid="{00000000-0004-0000-0500-00001B000000}"/>
    <hyperlink ref="E67" r:id="rId29" xr:uid="{00000000-0004-0000-0500-00001C000000}"/>
    <hyperlink ref="E72" r:id="rId30" xr:uid="{00000000-0004-0000-0500-00001D000000}"/>
  </hyperlinks>
  <pageMargins left="0.7" right="0.7" top="0.75" bottom="0.75" header="0" footer="0"/>
  <pageSetup orientation="landscape" useFirstPageNumber="1" horizontalDpi="4294967295" verticalDpi="4294967295"/>
  <tableParts count="1">
    <tablePart r:id="rId3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5"/>
  <sheetViews>
    <sheetView zoomScaleNormal="100" workbookViewId="0">
      <selection activeCell="C72" sqref="C72"/>
    </sheetView>
  </sheetViews>
  <sheetFormatPr baseColWidth="10" defaultColWidth="8.88671875" defaultRowHeight="14.4" customHeight="1"/>
  <cols>
    <col min="1" max="1" width="24.33203125" customWidth="1"/>
    <col min="2" max="2" width="48.5546875" customWidth="1"/>
  </cols>
  <sheetData>
    <row r="1" spans="1:8" ht="14.4" customHeight="1">
      <c r="A1" t="s">
        <v>625</v>
      </c>
      <c r="B1" t="s">
        <v>228</v>
      </c>
      <c r="C1" t="s">
        <v>229</v>
      </c>
      <c r="D1" t="s">
        <v>230</v>
      </c>
      <c r="E1" t="s">
        <v>626</v>
      </c>
    </row>
    <row r="2" spans="1:8" ht="14.4" customHeight="1">
      <c r="A2" t="s">
        <v>627</v>
      </c>
      <c r="B2" t="s">
        <v>628</v>
      </c>
      <c r="C2" t="s">
        <v>629</v>
      </c>
      <c r="D2" t="s">
        <v>630</v>
      </c>
      <c r="E2" t="s">
        <v>631</v>
      </c>
      <c r="F2" t="s">
        <v>103</v>
      </c>
      <c r="G2" t="s">
        <v>241</v>
      </c>
      <c r="H2" t="s">
        <v>632</v>
      </c>
    </row>
    <row r="3" spans="1:8" ht="14.4" customHeight="1">
      <c r="A3" t="s">
        <v>633</v>
      </c>
      <c r="B3" t="s">
        <v>634</v>
      </c>
      <c r="C3" t="s">
        <v>635</v>
      </c>
      <c r="D3" t="s">
        <v>636</v>
      </c>
      <c r="E3" t="s">
        <v>637</v>
      </c>
      <c r="F3" t="s">
        <v>103</v>
      </c>
      <c r="G3" t="s">
        <v>241</v>
      </c>
      <c r="H3" t="s">
        <v>632</v>
      </c>
    </row>
    <row r="4" spans="1:8" ht="14.4" customHeight="1">
      <c r="A4" t="s">
        <v>340</v>
      </c>
      <c r="B4" t="s">
        <v>341</v>
      </c>
      <c r="C4" t="s">
        <v>638</v>
      </c>
      <c r="D4" t="s">
        <v>639</v>
      </c>
      <c r="E4" t="s">
        <v>640</v>
      </c>
      <c r="F4" t="s">
        <v>103</v>
      </c>
      <c r="G4" t="s">
        <v>241</v>
      </c>
      <c r="H4" t="s">
        <v>632</v>
      </c>
    </row>
    <row r="5" spans="1:8" ht="14.4" customHeight="1">
      <c r="A5" t="s">
        <v>641</v>
      </c>
      <c r="B5" t="s">
        <v>642</v>
      </c>
      <c r="C5" t="s">
        <v>643</v>
      </c>
      <c r="D5" t="s">
        <v>644</v>
      </c>
      <c r="E5" t="s">
        <v>645</v>
      </c>
      <c r="F5" t="s">
        <v>103</v>
      </c>
      <c r="G5" t="s">
        <v>241</v>
      </c>
      <c r="H5" t="s">
        <v>632</v>
      </c>
    </row>
    <row r="6" spans="1:8" ht="14.4" customHeight="1">
      <c r="A6" t="s">
        <v>505</v>
      </c>
      <c r="B6" t="s">
        <v>506</v>
      </c>
      <c r="C6" t="s">
        <v>646</v>
      </c>
      <c r="D6" t="s">
        <v>647</v>
      </c>
      <c r="E6" t="s">
        <v>648</v>
      </c>
      <c r="F6" t="s">
        <v>103</v>
      </c>
      <c r="G6" t="s">
        <v>241</v>
      </c>
      <c r="H6" t="s">
        <v>632</v>
      </c>
    </row>
    <row r="7" spans="1:8" ht="14.4" customHeight="1">
      <c r="A7" t="s">
        <v>649</v>
      </c>
      <c r="B7" t="s">
        <v>103</v>
      </c>
      <c r="C7" t="s">
        <v>650</v>
      </c>
      <c r="D7" t="s">
        <v>651</v>
      </c>
      <c r="E7" t="s">
        <v>652</v>
      </c>
      <c r="F7" t="s">
        <v>103</v>
      </c>
      <c r="G7" t="s">
        <v>241</v>
      </c>
      <c r="H7" t="s">
        <v>632</v>
      </c>
    </row>
    <row r="8" spans="1:8" ht="14.4" customHeight="1">
      <c r="A8" t="s">
        <v>382</v>
      </c>
      <c r="B8" t="s">
        <v>383</v>
      </c>
      <c r="C8" t="s">
        <v>384</v>
      </c>
      <c r="D8" t="s">
        <v>653</v>
      </c>
      <c r="E8" t="s">
        <v>654</v>
      </c>
      <c r="F8" t="s">
        <v>103</v>
      </c>
      <c r="G8" t="s">
        <v>241</v>
      </c>
      <c r="H8" t="s">
        <v>655</v>
      </c>
    </row>
    <row r="9" spans="1:8" ht="14.4" customHeight="1">
      <c r="A9" t="s">
        <v>656</v>
      </c>
      <c r="B9" t="s">
        <v>657</v>
      </c>
      <c r="C9" t="s">
        <v>658</v>
      </c>
      <c r="D9" t="s">
        <v>659</v>
      </c>
      <c r="E9" t="s">
        <v>660</v>
      </c>
      <c r="F9" t="s">
        <v>103</v>
      </c>
      <c r="G9" t="s">
        <v>241</v>
      </c>
      <c r="H9" t="s">
        <v>632</v>
      </c>
    </row>
    <row r="10" spans="1:8" ht="14.4" customHeight="1">
      <c r="A10" t="s">
        <v>661</v>
      </c>
      <c r="B10" t="s">
        <v>662</v>
      </c>
      <c r="C10" t="s">
        <v>663</v>
      </c>
      <c r="D10" t="s">
        <v>664</v>
      </c>
      <c r="E10" t="s">
        <v>665</v>
      </c>
      <c r="F10" t="s">
        <v>103</v>
      </c>
      <c r="G10" t="s">
        <v>241</v>
      </c>
      <c r="H10" t="s">
        <v>632</v>
      </c>
    </row>
    <row r="11" spans="1:8" ht="14.4" customHeight="1">
      <c r="A11" t="s">
        <v>440</v>
      </c>
      <c r="B11" t="s">
        <v>441</v>
      </c>
      <c r="C11" t="s">
        <v>666</v>
      </c>
      <c r="D11" t="s">
        <v>667</v>
      </c>
      <c r="E11" t="s">
        <v>444</v>
      </c>
      <c r="F11" t="s">
        <v>103</v>
      </c>
      <c r="G11" t="s">
        <v>241</v>
      </c>
      <c r="H11" t="s">
        <v>632</v>
      </c>
    </row>
    <row r="12" spans="1:8" ht="14.4" customHeight="1">
      <c r="A12" t="s">
        <v>668</v>
      </c>
      <c r="B12" t="s">
        <v>669</v>
      </c>
      <c r="C12" t="s">
        <v>670</v>
      </c>
      <c r="D12" t="s">
        <v>671</v>
      </c>
      <c r="E12" t="s">
        <v>672</v>
      </c>
      <c r="F12" t="s">
        <v>103</v>
      </c>
      <c r="G12" t="s">
        <v>241</v>
      </c>
      <c r="H12" t="s">
        <v>632</v>
      </c>
    </row>
    <row r="13" spans="1:8" ht="14.4" customHeight="1">
      <c r="A13" t="s">
        <v>462</v>
      </c>
      <c r="B13" t="s">
        <v>673</v>
      </c>
      <c r="C13" t="s">
        <v>638</v>
      </c>
      <c r="D13" t="s">
        <v>674</v>
      </c>
      <c r="E13" t="s">
        <v>675</v>
      </c>
      <c r="F13" t="s">
        <v>103</v>
      </c>
      <c r="G13" t="s">
        <v>241</v>
      </c>
      <c r="H13" t="s">
        <v>632</v>
      </c>
    </row>
    <row r="14" spans="1:8" ht="14.4" customHeight="1">
      <c r="A14" t="s">
        <v>676</v>
      </c>
      <c r="B14" t="s">
        <v>677</v>
      </c>
      <c r="C14" t="s">
        <v>678</v>
      </c>
      <c r="D14" t="s">
        <v>679</v>
      </c>
      <c r="E14" t="s">
        <v>680</v>
      </c>
      <c r="F14" t="s">
        <v>103</v>
      </c>
      <c r="G14" t="s">
        <v>241</v>
      </c>
      <c r="H14" t="s">
        <v>632</v>
      </c>
    </row>
    <row r="15" spans="1:8" ht="14.4" customHeight="1">
      <c r="A15" t="s">
        <v>477</v>
      </c>
      <c r="B15" t="s">
        <v>681</v>
      </c>
      <c r="C15" t="s">
        <v>682</v>
      </c>
      <c r="D15" t="s">
        <v>683</v>
      </c>
      <c r="E15" t="s">
        <v>684</v>
      </c>
      <c r="F15" t="s">
        <v>103</v>
      </c>
      <c r="G15" t="s">
        <v>241</v>
      </c>
      <c r="H15" t="s">
        <v>632</v>
      </c>
    </row>
    <row r="16" spans="1:8" ht="14.4" customHeight="1">
      <c r="A16" t="s">
        <v>685</v>
      </c>
      <c r="B16" t="s">
        <v>686</v>
      </c>
      <c r="C16" t="s">
        <v>687</v>
      </c>
      <c r="D16" t="s">
        <v>688</v>
      </c>
      <c r="E16" t="s">
        <v>689</v>
      </c>
      <c r="F16" t="s">
        <v>103</v>
      </c>
      <c r="G16" t="s">
        <v>241</v>
      </c>
      <c r="H16" t="s">
        <v>690</v>
      </c>
    </row>
    <row r="17" spans="1:8" ht="14.4" customHeight="1">
      <c r="A17" t="s">
        <v>691</v>
      </c>
      <c r="B17" t="s">
        <v>692</v>
      </c>
      <c r="C17" t="s">
        <v>693</v>
      </c>
      <c r="D17" t="s">
        <v>694</v>
      </c>
      <c r="E17" t="s">
        <v>695</v>
      </c>
      <c r="F17" t="s">
        <v>103</v>
      </c>
      <c r="G17" t="s">
        <v>241</v>
      </c>
      <c r="H17" t="s">
        <v>632</v>
      </c>
    </row>
    <row r="18" spans="1:8" ht="14.4" customHeight="1">
      <c r="A18" t="s">
        <v>696</v>
      </c>
      <c r="B18" t="s">
        <v>697</v>
      </c>
      <c r="C18" t="s">
        <v>698</v>
      </c>
      <c r="D18" t="s">
        <v>699</v>
      </c>
      <c r="E18" t="s">
        <v>700</v>
      </c>
      <c r="F18" t="s">
        <v>103</v>
      </c>
      <c r="G18" t="s">
        <v>241</v>
      </c>
      <c r="H18" t="s">
        <v>632</v>
      </c>
    </row>
    <row r="19" spans="1:8" ht="14.4" customHeight="1">
      <c r="A19" t="s">
        <v>701</v>
      </c>
      <c r="B19" t="s">
        <v>702</v>
      </c>
      <c r="C19" t="s">
        <v>703</v>
      </c>
      <c r="E19" t="s">
        <v>704</v>
      </c>
      <c r="F19" t="s">
        <v>103</v>
      </c>
      <c r="G19" t="s">
        <v>241</v>
      </c>
      <c r="H19" t="s">
        <v>632</v>
      </c>
    </row>
    <row r="20" spans="1:8" ht="14.4" customHeight="1">
      <c r="A20" t="s">
        <v>304</v>
      </c>
      <c r="B20" t="s">
        <v>705</v>
      </c>
      <c r="C20" t="s">
        <v>706</v>
      </c>
      <c r="D20" t="s">
        <v>707</v>
      </c>
      <c r="E20" t="s">
        <v>708</v>
      </c>
      <c r="F20" t="s">
        <v>103</v>
      </c>
      <c r="G20" t="s">
        <v>241</v>
      </c>
      <c r="H20" t="s">
        <v>709</v>
      </c>
    </row>
    <row r="21" spans="1:8" ht="14.4" customHeight="1">
      <c r="A21" t="s">
        <v>547</v>
      </c>
      <c r="B21" t="s">
        <v>548</v>
      </c>
      <c r="C21" t="s">
        <v>549</v>
      </c>
      <c r="D21" t="s">
        <v>710</v>
      </c>
      <c r="E21" t="s">
        <v>711</v>
      </c>
      <c r="F21" t="s">
        <v>103</v>
      </c>
      <c r="G21" t="s">
        <v>241</v>
      </c>
      <c r="H21" t="s">
        <v>632</v>
      </c>
    </row>
    <row r="22" spans="1:8" ht="14.4" customHeight="1">
      <c r="A22" t="s">
        <v>712</v>
      </c>
      <c r="B22" t="s">
        <v>713</v>
      </c>
      <c r="C22" t="s">
        <v>714</v>
      </c>
      <c r="D22" t="s">
        <v>715</v>
      </c>
      <c r="E22" t="s">
        <v>716</v>
      </c>
      <c r="F22" t="s">
        <v>103</v>
      </c>
      <c r="G22" t="s">
        <v>241</v>
      </c>
      <c r="H22" t="s">
        <v>632</v>
      </c>
    </row>
    <row r="23" spans="1:8" ht="14.4" customHeight="1">
      <c r="A23" t="s">
        <v>717</v>
      </c>
      <c r="B23" t="s">
        <v>718</v>
      </c>
      <c r="C23" t="s">
        <v>719</v>
      </c>
      <c r="D23" t="s">
        <v>720</v>
      </c>
      <c r="E23" t="s">
        <v>721</v>
      </c>
      <c r="F23" t="s">
        <v>103</v>
      </c>
      <c r="G23" t="s">
        <v>241</v>
      </c>
      <c r="H23" t="s">
        <v>722</v>
      </c>
    </row>
    <row r="24" spans="1:8" ht="14.4" customHeight="1">
      <c r="A24" t="s">
        <v>723</v>
      </c>
      <c r="B24" t="s">
        <v>724</v>
      </c>
      <c r="C24" t="s">
        <v>725</v>
      </c>
      <c r="D24" t="s">
        <v>726</v>
      </c>
      <c r="E24" t="s">
        <v>727</v>
      </c>
      <c r="F24" t="s">
        <v>103</v>
      </c>
      <c r="G24" t="s">
        <v>241</v>
      </c>
      <c r="H24" t="s">
        <v>632</v>
      </c>
    </row>
    <row r="25" spans="1:8" ht="14.4" customHeight="1">
      <c r="A25" t="s">
        <v>728</v>
      </c>
      <c r="B25" t="s">
        <v>729</v>
      </c>
      <c r="C25" t="s">
        <v>730</v>
      </c>
      <c r="D25" t="s">
        <v>731</v>
      </c>
      <c r="E25" t="s">
        <v>732</v>
      </c>
      <c r="F25" t="s">
        <v>103</v>
      </c>
      <c r="G25" t="s">
        <v>241</v>
      </c>
      <c r="H25" t="s">
        <v>632</v>
      </c>
    </row>
    <row r="26" spans="1:8" ht="14.4" customHeight="1">
      <c r="A26" t="s">
        <v>570</v>
      </c>
      <c r="B26" t="s">
        <v>571</v>
      </c>
      <c r="C26" t="s">
        <v>103</v>
      </c>
      <c r="D26" t="s">
        <v>733</v>
      </c>
      <c r="E26" t="s">
        <v>573</v>
      </c>
      <c r="F26" t="s">
        <v>103</v>
      </c>
      <c r="G26" t="s">
        <v>241</v>
      </c>
      <c r="H26" t="s">
        <v>632</v>
      </c>
    </row>
    <row r="27" spans="1:8" ht="14.4" customHeight="1">
      <c r="A27" t="s">
        <v>734</v>
      </c>
      <c r="B27" t="s">
        <v>428</v>
      </c>
      <c r="C27" t="s">
        <v>735</v>
      </c>
      <c r="D27" t="s">
        <v>736</v>
      </c>
      <c r="E27" t="s">
        <v>737</v>
      </c>
      <c r="F27" t="s">
        <v>103</v>
      </c>
      <c r="G27" t="s">
        <v>241</v>
      </c>
      <c r="H27" t="s">
        <v>632</v>
      </c>
    </row>
    <row r="28" spans="1:8" ht="14.4" customHeight="1">
      <c r="A28" t="s">
        <v>738</v>
      </c>
      <c r="B28" t="s">
        <v>739</v>
      </c>
      <c r="C28" t="s">
        <v>740</v>
      </c>
      <c r="D28" t="s">
        <v>741</v>
      </c>
      <c r="E28" t="s">
        <v>742</v>
      </c>
      <c r="F28" t="s">
        <v>103</v>
      </c>
      <c r="G28" t="s">
        <v>241</v>
      </c>
      <c r="H28" t="s">
        <v>632</v>
      </c>
    </row>
    <row r="29" spans="1:8" ht="14.4" customHeight="1">
      <c r="A29" t="s">
        <v>603</v>
      </c>
      <c r="B29" t="s">
        <v>743</v>
      </c>
      <c r="C29" t="s">
        <v>744</v>
      </c>
      <c r="D29" t="s">
        <v>745</v>
      </c>
      <c r="E29" t="s">
        <v>746</v>
      </c>
      <c r="F29" t="s">
        <v>103</v>
      </c>
      <c r="G29" t="s">
        <v>241</v>
      </c>
      <c r="H29" t="s">
        <v>632</v>
      </c>
    </row>
    <row r="30" spans="1:8" ht="14.4" customHeight="1">
      <c r="A30" t="s">
        <v>747</v>
      </c>
      <c r="B30" t="s">
        <v>748</v>
      </c>
      <c r="C30" t="s">
        <v>326</v>
      </c>
      <c r="D30" t="s">
        <v>749</v>
      </c>
      <c r="E30" t="s">
        <v>750</v>
      </c>
      <c r="F30" t="s">
        <v>103</v>
      </c>
      <c r="G30" t="s">
        <v>241</v>
      </c>
      <c r="H30" t="s">
        <v>632</v>
      </c>
    </row>
    <row r="31" spans="1:8">
      <c r="A31" t="s">
        <v>751</v>
      </c>
      <c r="B31" t="s">
        <v>752</v>
      </c>
      <c r="C31" t="s">
        <v>753</v>
      </c>
      <c r="D31" t="s">
        <v>754</v>
      </c>
      <c r="E31" t="s">
        <v>755</v>
      </c>
      <c r="F31" t="s">
        <v>103</v>
      </c>
      <c r="G31" t="s">
        <v>241</v>
      </c>
      <c r="H31" t="s">
        <v>756</v>
      </c>
    </row>
    <row r="32" spans="1:8">
      <c r="A32" t="s">
        <v>757</v>
      </c>
      <c r="B32" t="s">
        <v>758</v>
      </c>
      <c r="C32" t="s">
        <v>759</v>
      </c>
      <c r="D32" t="s">
        <v>760</v>
      </c>
      <c r="E32" t="s">
        <v>761</v>
      </c>
      <c r="F32" t="s">
        <v>103</v>
      </c>
      <c r="G32" t="s">
        <v>241</v>
      </c>
      <c r="H32" t="s">
        <v>632</v>
      </c>
    </row>
    <row r="33" spans="1:8">
      <c r="A33" t="s">
        <v>762</v>
      </c>
      <c r="B33" t="s">
        <v>763</v>
      </c>
      <c r="C33" t="s">
        <v>764</v>
      </c>
      <c r="D33" t="s">
        <v>765</v>
      </c>
      <c r="E33" t="s">
        <v>766</v>
      </c>
      <c r="F33" t="s">
        <v>103</v>
      </c>
      <c r="G33" t="s">
        <v>241</v>
      </c>
      <c r="H33" t="s">
        <v>632</v>
      </c>
    </row>
    <row r="34" spans="1:8">
      <c r="A34" t="s">
        <v>767</v>
      </c>
      <c r="B34" t="s">
        <v>768</v>
      </c>
      <c r="C34" t="s">
        <v>103</v>
      </c>
      <c r="D34" t="s">
        <v>769</v>
      </c>
      <c r="E34" t="s">
        <v>103</v>
      </c>
      <c r="F34" t="s">
        <v>103</v>
      </c>
      <c r="G34" t="s">
        <v>241</v>
      </c>
      <c r="H34" t="s">
        <v>632</v>
      </c>
    </row>
    <row r="35" spans="1:8">
      <c r="A35" t="s">
        <v>770</v>
      </c>
      <c r="B35" t="s">
        <v>771</v>
      </c>
      <c r="C35" t="s">
        <v>772</v>
      </c>
      <c r="D35" t="s">
        <v>773</v>
      </c>
      <c r="E35" t="s">
        <v>774</v>
      </c>
      <c r="F35" t="s">
        <v>103</v>
      </c>
      <c r="G35" t="s">
        <v>241</v>
      </c>
      <c r="H35" t="s">
        <v>632</v>
      </c>
    </row>
    <row r="36" spans="1:8">
      <c r="A36" t="s">
        <v>775</v>
      </c>
      <c r="B36" t="s">
        <v>776</v>
      </c>
      <c r="C36" t="s">
        <v>777</v>
      </c>
      <c r="D36" t="s">
        <v>778</v>
      </c>
      <c r="E36" t="s">
        <v>779</v>
      </c>
      <c r="F36" t="s">
        <v>103</v>
      </c>
      <c r="G36" t="s">
        <v>241</v>
      </c>
      <c r="H36" t="s">
        <v>632</v>
      </c>
    </row>
    <row r="37" spans="1:8">
      <c r="A37" t="s">
        <v>780</v>
      </c>
      <c r="B37" t="s">
        <v>781</v>
      </c>
      <c r="C37" t="s">
        <v>782</v>
      </c>
      <c r="D37" t="s">
        <v>783</v>
      </c>
      <c r="E37" t="s">
        <v>784</v>
      </c>
      <c r="F37" t="s">
        <v>103</v>
      </c>
      <c r="G37" t="s">
        <v>241</v>
      </c>
      <c r="H37" t="s">
        <v>632</v>
      </c>
    </row>
    <row r="38" spans="1:8">
      <c r="A38" t="s">
        <v>446</v>
      </c>
      <c r="B38" t="s">
        <v>785</v>
      </c>
      <c r="C38" t="s">
        <v>786</v>
      </c>
      <c r="D38" t="s">
        <v>787</v>
      </c>
      <c r="E38" t="s">
        <v>788</v>
      </c>
      <c r="F38" t="s">
        <v>103</v>
      </c>
      <c r="G38" t="s">
        <v>241</v>
      </c>
      <c r="H38" t="s">
        <v>632</v>
      </c>
    </row>
    <row r="39" spans="1:8">
      <c r="A39" t="s">
        <v>789</v>
      </c>
      <c r="B39" t="s">
        <v>790</v>
      </c>
      <c r="C39" t="s">
        <v>791</v>
      </c>
      <c r="D39" t="s">
        <v>792</v>
      </c>
      <c r="E39" t="s">
        <v>793</v>
      </c>
      <c r="F39" t="s">
        <v>103</v>
      </c>
      <c r="G39" t="s">
        <v>241</v>
      </c>
      <c r="H39" t="s">
        <v>632</v>
      </c>
    </row>
    <row r="40" spans="1:8">
      <c r="A40" t="s">
        <v>794</v>
      </c>
      <c r="B40" t="s">
        <v>795</v>
      </c>
      <c r="C40" t="s">
        <v>796</v>
      </c>
      <c r="D40" t="s">
        <v>797</v>
      </c>
      <c r="E40" t="s">
        <v>798</v>
      </c>
      <c r="F40" t="s">
        <v>103</v>
      </c>
      <c r="G40" t="s">
        <v>241</v>
      </c>
      <c r="H40" t="s">
        <v>632</v>
      </c>
    </row>
    <row r="41" spans="1:8">
      <c r="A41" t="s">
        <v>575</v>
      </c>
      <c r="B41" t="s">
        <v>799</v>
      </c>
      <c r="C41" t="s">
        <v>800</v>
      </c>
      <c r="D41" t="s">
        <v>801</v>
      </c>
      <c r="E41" t="s">
        <v>103</v>
      </c>
      <c r="F41" t="s">
        <v>103</v>
      </c>
      <c r="G41" t="s">
        <v>241</v>
      </c>
      <c r="H41" t="s">
        <v>632</v>
      </c>
    </row>
    <row r="42" spans="1:8">
      <c r="A42" t="s">
        <v>406</v>
      </c>
      <c r="B42" t="s">
        <v>407</v>
      </c>
      <c r="C42" t="s">
        <v>408</v>
      </c>
      <c r="D42" t="s">
        <v>802</v>
      </c>
      <c r="E42" t="s">
        <v>803</v>
      </c>
      <c r="F42" t="s">
        <v>103</v>
      </c>
      <c r="G42" t="s">
        <v>241</v>
      </c>
      <c r="H42" t="s">
        <v>632</v>
      </c>
    </row>
    <row r="43" spans="1:8">
      <c r="A43" t="s">
        <v>260</v>
      </c>
      <c r="B43" t="s">
        <v>261</v>
      </c>
      <c r="C43" t="s">
        <v>262</v>
      </c>
      <c r="E43" t="s">
        <v>804</v>
      </c>
      <c r="F43" t="s">
        <v>103</v>
      </c>
      <c r="G43" t="s">
        <v>241</v>
      </c>
      <c r="H43" t="s">
        <v>632</v>
      </c>
    </row>
    <row r="44" spans="1:8">
      <c r="A44" t="s">
        <v>805</v>
      </c>
      <c r="B44" t="s">
        <v>806</v>
      </c>
      <c r="C44" t="s">
        <v>807</v>
      </c>
      <c r="D44" t="s">
        <v>808</v>
      </c>
      <c r="E44" t="s">
        <v>809</v>
      </c>
      <c r="F44" t="s">
        <v>103</v>
      </c>
      <c r="G44" t="s">
        <v>241</v>
      </c>
      <c r="H44" t="s">
        <v>632</v>
      </c>
    </row>
    <row r="45" spans="1:8">
      <c r="A45" t="s">
        <v>250</v>
      </c>
      <c r="B45" t="s">
        <v>251</v>
      </c>
      <c r="C45" t="s">
        <v>252</v>
      </c>
      <c r="D45" t="s">
        <v>810</v>
      </c>
      <c r="E45" t="s">
        <v>811</v>
      </c>
      <c r="F45" t="s">
        <v>103</v>
      </c>
      <c r="G45" t="s">
        <v>241</v>
      </c>
      <c r="H45" t="s">
        <v>632</v>
      </c>
    </row>
    <row r="46" spans="1:8">
      <c r="A46" t="s">
        <v>812</v>
      </c>
      <c r="B46" t="s">
        <v>813</v>
      </c>
      <c r="C46" t="s">
        <v>379</v>
      </c>
      <c r="D46" t="s">
        <v>380</v>
      </c>
      <c r="E46" t="s">
        <v>814</v>
      </c>
      <c r="F46" t="s">
        <v>103</v>
      </c>
      <c r="G46" t="s">
        <v>241</v>
      </c>
      <c r="H46" t="s">
        <v>632</v>
      </c>
    </row>
    <row r="47" spans="1:8">
      <c r="A47" t="s">
        <v>815</v>
      </c>
      <c r="B47" t="s">
        <v>816</v>
      </c>
      <c r="C47" t="s">
        <v>817</v>
      </c>
      <c r="D47" t="s">
        <v>818</v>
      </c>
      <c r="E47" t="s">
        <v>819</v>
      </c>
      <c r="F47" t="s">
        <v>103</v>
      </c>
      <c r="G47" t="s">
        <v>241</v>
      </c>
      <c r="H47" t="s">
        <v>632</v>
      </c>
    </row>
    <row r="48" spans="1:8">
      <c r="A48" t="s">
        <v>820</v>
      </c>
      <c r="B48" t="s">
        <v>821</v>
      </c>
      <c r="C48" t="s">
        <v>822</v>
      </c>
      <c r="D48" t="s">
        <v>823</v>
      </c>
      <c r="E48" t="s">
        <v>824</v>
      </c>
      <c r="F48" t="s">
        <v>103</v>
      </c>
      <c r="G48" t="s">
        <v>241</v>
      </c>
      <c r="H48" t="s">
        <v>632</v>
      </c>
    </row>
    <row r="49" spans="1:8">
      <c r="A49" t="s">
        <v>825</v>
      </c>
      <c r="B49" t="s">
        <v>826</v>
      </c>
      <c r="C49" t="s">
        <v>827</v>
      </c>
      <c r="D49" t="s">
        <v>828</v>
      </c>
      <c r="E49" t="s">
        <v>103</v>
      </c>
      <c r="F49" t="s">
        <v>103</v>
      </c>
      <c r="G49" t="s">
        <v>241</v>
      </c>
      <c r="H49" t="s">
        <v>829</v>
      </c>
    </row>
    <row r="50" spans="1:8">
      <c r="A50" t="s">
        <v>298</v>
      </c>
      <c r="B50" t="s">
        <v>830</v>
      </c>
      <c r="C50" t="s">
        <v>300</v>
      </c>
      <c r="D50" t="s">
        <v>831</v>
      </c>
      <c r="E50" t="s">
        <v>832</v>
      </c>
      <c r="F50" t="s">
        <v>103</v>
      </c>
      <c r="G50" t="s">
        <v>241</v>
      </c>
      <c r="H50" t="s">
        <v>632</v>
      </c>
    </row>
    <row r="51" spans="1:8">
      <c r="A51" t="s">
        <v>833</v>
      </c>
      <c r="B51" t="s">
        <v>834</v>
      </c>
      <c r="C51" t="s">
        <v>835</v>
      </c>
      <c r="D51" t="s">
        <v>836</v>
      </c>
      <c r="E51" t="s">
        <v>837</v>
      </c>
      <c r="F51" t="s">
        <v>103</v>
      </c>
      <c r="G51" t="s">
        <v>241</v>
      </c>
      <c r="H51" t="s">
        <v>632</v>
      </c>
    </row>
    <row r="52" spans="1:8">
      <c r="A52" t="s">
        <v>521</v>
      </c>
      <c r="B52" t="s">
        <v>838</v>
      </c>
      <c r="C52" t="s">
        <v>839</v>
      </c>
      <c r="D52" t="s">
        <v>840</v>
      </c>
      <c r="E52" t="s">
        <v>841</v>
      </c>
      <c r="F52" t="s">
        <v>103</v>
      </c>
      <c r="G52" t="s">
        <v>241</v>
      </c>
      <c r="H52" t="s">
        <v>632</v>
      </c>
    </row>
    <row r="53" spans="1:8">
      <c r="A53" t="s">
        <v>842</v>
      </c>
      <c r="B53" t="s">
        <v>843</v>
      </c>
      <c r="C53" t="s">
        <v>844</v>
      </c>
      <c r="D53" t="s">
        <v>845</v>
      </c>
      <c r="E53" t="s">
        <v>846</v>
      </c>
      <c r="F53" t="s">
        <v>103</v>
      </c>
      <c r="G53" t="s">
        <v>241</v>
      </c>
      <c r="H53" t="s">
        <v>632</v>
      </c>
    </row>
    <row r="54" spans="1:8">
      <c r="A54" t="s">
        <v>847</v>
      </c>
      <c r="B54" t="s">
        <v>848</v>
      </c>
      <c r="C54" t="s">
        <v>849</v>
      </c>
      <c r="D54" t="s">
        <v>850</v>
      </c>
      <c r="E54" t="s">
        <v>851</v>
      </c>
      <c r="F54" t="s">
        <v>103</v>
      </c>
      <c r="G54" t="s">
        <v>241</v>
      </c>
      <c r="H54" t="s">
        <v>632</v>
      </c>
    </row>
    <row r="55" spans="1:8">
      <c r="A55" t="s">
        <v>852</v>
      </c>
      <c r="B55" t="s">
        <v>853</v>
      </c>
      <c r="C55" t="s">
        <v>854</v>
      </c>
      <c r="D55" t="s">
        <v>855</v>
      </c>
      <c r="E55" t="s">
        <v>103</v>
      </c>
      <c r="F55" t="s">
        <v>103</v>
      </c>
      <c r="G55" t="s">
        <v>241</v>
      </c>
      <c r="H55" t="s">
        <v>632</v>
      </c>
    </row>
    <row r="56" spans="1:8">
      <c r="A56" t="s">
        <v>856</v>
      </c>
      <c r="B56" t="s">
        <v>857</v>
      </c>
      <c r="C56" t="s">
        <v>858</v>
      </c>
      <c r="D56" t="s">
        <v>859</v>
      </c>
      <c r="E56" t="s">
        <v>860</v>
      </c>
      <c r="F56" t="s">
        <v>103</v>
      </c>
      <c r="G56" t="s">
        <v>241</v>
      </c>
      <c r="H56" t="s">
        <v>861</v>
      </c>
    </row>
    <row r="57" spans="1:8">
      <c r="A57" t="s">
        <v>862</v>
      </c>
      <c r="B57" t="s">
        <v>863</v>
      </c>
      <c r="C57" t="s">
        <v>864</v>
      </c>
      <c r="D57" t="s">
        <v>865</v>
      </c>
      <c r="E57" t="s">
        <v>866</v>
      </c>
      <c r="F57" t="s">
        <v>103</v>
      </c>
      <c r="G57" t="s">
        <v>241</v>
      </c>
      <c r="H57" t="s">
        <v>632</v>
      </c>
    </row>
    <row r="58" spans="1:8">
      <c r="A58" t="s">
        <v>867</v>
      </c>
      <c r="B58" t="s">
        <v>868</v>
      </c>
      <c r="C58" t="s">
        <v>103</v>
      </c>
      <c r="D58" t="s">
        <v>869</v>
      </c>
      <c r="E58" t="s">
        <v>870</v>
      </c>
      <c r="F58" t="s">
        <v>103</v>
      </c>
      <c r="G58" t="s">
        <v>241</v>
      </c>
      <c r="H58" t="s">
        <v>632</v>
      </c>
    </row>
    <row r="59" spans="1:8">
      <c r="A59" t="s">
        <v>387</v>
      </c>
      <c r="B59" t="s">
        <v>871</v>
      </c>
      <c r="C59" t="s">
        <v>872</v>
      </c>
      <c r="D59" t="s">
        <v>873</v>
      </c>
      <c r="E59" t="s">
        <v>874</v>
      </c>
      <c r="F59" t="s">
        <v>103</v>
      </c>
      <c r="G59" t="s">
        <v>241</v>
      </c>
      <c r="H59" t="s">
        <v>632</v>
      </c>
    </row>
    <row r="60" spans="1:8">
      <c r="A60" t="s">
        <v>265</v>
      </c>
      <c r="B60" t="s">
        <v>875</v>
      </c>
      <c r="C60" t="s">
        <v>876</v>
      </c>
      <c r="D60" t="s">
        <v>877</v>
      </c>
      <c r="E60" t="s">
        <v>878</v>
      </c>
      <c r="F60" t="s">
        <v>103</v>
      </c>
      <c r="G60" t="s">
        <v>241</v>
      </c>
      <c r="H60" t="s">
        <v>632</v>
      </c>
    </row>
    <row r="61" spans="1:8">
      <c r="A61" t="s">
        <v>879</v>
      </c>
      <c r="B61" t="s">
        <v>880</v>
      </c>
      <c r="C61" t="s">
        <v>881</v>
      </c>
      <c r="D61" t="s">
        <v>882</v>
      </c>
      <c r="E61" t="s">
        <v>883</v>
      </c>
      <c r="F61" t="s">
        <v>103</v>
      </c>
      <c r="G61" t="s">
        <v>241</v>
      </c>
      <c r="H61" t="s">
        <v>884</v>
      </c>
    </row>
    <row r="62" spans="1:8">
      <c r="A62" t="s">
        <v>885</v>
      </c>
      <c r="B62" t="s">
        <v>886</v>
      </c>
      <c r="C62" t="s">
        <v>887</v>
      </c>
      <c r="D62" t="s">
        <v>888</v>
      </c>
      <c r="E62" t="s">
        <v>103</v>
      </c>
      <c r="F62" t="s">
        <v>103</v>
      </c>
      <c r="G62" t="s">
        <v>241</v>
      </c>
      <c r="H62" t="s">
        <v>632</v>
      </c>
    </row>
    <row r="63" spans="1:8">
      <c r="A63" t="s">
        <v>889</v>
      </c>
      <c r="B63" t="s">
        <v>890</v>
      </c>
      <c r="C63" t="s">
        <v>638</v>
      </c>
      <c r="D63" t="s">
        <v>891</v>
      </c>
      <c r="E63" t="s">
        <v>892</v>
      </c>
      <c r="F63" t="s">
        <v>103</v>
      </c>
      <c r="G63" t="s">
        <v>241</v>
      </c>
      <c r="H63" t="s">
        <v>632</v>
      </c>
    </row>
    <row r="64" spans="1:8">
      <c r="A64" t="s">
        <v>893</v>
      </c>
      <c r="B64" t="s">
        <v>894</v>
      </c>
      <c r="C64" t="s">
        <v>322</v>
      </c>
      <c r="D64" t="s">
        <v>895</v>
      </c>
      <c r="E64" t="s">
        <v>896</v>
      </c>
      <c r="F64" t="s">
        <v>103</v>
      </c>
      <c r="G64" t="s">
        <v>241</v>
      </c>
      <c r="H64" t="s">
        <v>632</v>
      </c>
    </row>
    <row r="65" spans="1:8">
      <c r="A65" t="s">
        <v>897</v>
      </c>
      <c r="B65" t="s">
        <v>898</v>
      </c>
      <c r="C65" t="s">
        <v>899</v>
      </c>
      <c r="E65" t="s">
        <v>900</v>
      </c>
      <c r="F65" t="s">
        <v>103</v>
      </c>
      <c r="G65" t="s">
        <v>241</v>
      </c>
      <c r="H65" t="s">
        <v>632</v>
      </c>
    </row>
    <row r="66" spans="1:8">
      <c r="A66" t="s">
        <v>421</v>
      </c>
      <c r="B66" t="s">
        <v>901</v>
      </c>
      <c r="C66" t="s">
        <v>902</v>
      </c>
      <c r="D66" t="s">
        <v>903</v>
      </c>
      <c r="E66" t="s">
        <v>904</v>
      </c>
      <c r="F66" t="s">
        <v>103</v>
      </c>
      <c r="G66" t="s">
        <v>241</v>
      </c>
      <c r="H66" t="s">
        <v>632</v>
      </c>
    </row>
    <row r="67" spans="1:8">
      <c r="A67" t="s">
        <v>905</v>
      </c>
      <c r="B67" t="s">
        <v>906</v>
      </c>
      <c r="C67" t="s">
        <v>907</v>
      </c>
      <c r="D67" t="s">
        <v>908</v>
      </c>
      <c r="E67" t="s">
        <v>909</v>
      </c>
      <c r="F67" t="s">
        <v>103</v>
      </c>
      <c r="G67" t="s">
        <v>241</v>
      </c>
      <c r="H67" t="s">
        <v>632</v>
      </c>
    </row>
    <row r="68" spans="1:8">
      <c r="A68" t="s">
        <v>910</v>
      </c>
      <c r="B68" t="s">
        <v>911</v>
      </c>
      <c r="C68" t="s">
        <v>912</v>
      </c>
      <c r="D68" t="s">
        <v>913</v>
      </c>
      <c r="E68" t="s">
        <v>914</v>
      </c>
      <c r="F68" t="s">
        <v>103</v>
      </c>
      <c r="G68" t="s">
        <v>241</v>
      </c>
      <c r="H68" t="s">
        <v>632</v>
      </c>
    </row>
    <row r="69" spans="1:8">
      <c r="A69" t="s">
        <v>915</v>
      </c>
      <c r="B69" t="s">
        <v>916</v>
      </c>
      <c r="C69" t="s">
        <v>917</v>
      </c>
      <c r="D69" t="s">
        <v>918</v>
      </c>
      <c r="E69" t="s">
        <v>103</v>
      </c>
      <c r="F69" t="s">
        <v>103</v>
      </c>
      <c r="G69" t="s">
        <v>241</v>
      </c>
      <c r="H69" t="s">
        <v>919</v>
      </c>
    </row>
    <row r="70" spans="1:8">
      <c r="A70" t="s">
        <v>487</v>
      </c>
      <c r="B70" t="s">
        <v>920</v>
      </c>
      <c r="C70" t="s">
        <v>921</v>
      </c>
      <c r="D70" t="s">
        <v>922</v>
      </c>
      <c r="E70" t="s">
        <v>923</v>
      </c>
      <c r="F70" t="s">
        <v>103</v>
      </c>
      <c r="G70" t="s">
        <v>241</v>
      </c>
      <c r="H70" t="s">
        <v>632</v>
      </c>
    </row>
    <row r="71" spans="1:8">
      <c r="A71" t="s">
        <v>924</v>
      </c>
      <c r="B71" t="s">
        <v>925</v>
      </c>
      <c r="C71" t="s">
        <v>687</v>
      </c>
      <c r="D71" t="s">
        <v>688</v>
      </c>
      <c r="E71" t="s">
        <v>926</v>
      </c>
      <c r="F71" t="s">
        <v>103</v>
      </c>
      <c r="G71" t="s">
        <v>241</v>
      </c>
      <c r="H71" t="s">
        <v>690</v>
      </c>
    </row>
    <row r="72" spans="1:8">
      <c r="A72" t="s">
        <v>599</v>
      </c>
      <c r="B72" t="s">
        <v>600</v>
      </c>
      <c r="C72" t="s">
        <v>927</v>
      </c>
      <c r="D72" t="s">
        <v>928</v>
      </c>
      <c r="E72" t="s">
        <v>929</v>
      </c>
      <c r="F72" t="s">
        <v>103</v>
      </c>
      <c r="G72" t="s">
        <v>241</v>
      </c>
      <c r="H72" t="s">
        <v>632</v>
      </c>
    </row>
    <row r="73" spans="1:8">
      <c r="A73" t="s">
        <v>511</v>
      </c>
      <c r="B73" t="s">
        <v>930</v>
      </c>
      <c r="C73" t="s">
        <v>931</v>
      </c>
      <c r="D73" t="s">
        <v>932</v>
      </c>
      <c r="E73" t="s">
        <v>933</v>
      </c>
      <c r="F73" t="s">
        <v>103</v>
      </c>
      <c r="G73" t="s">
        <v>241</v>
      </c>
      <c r="H73" t="s">
        <v>632</v>
      </c>
    </row>
    <row r="74" spans="1:8">
      <c r="A74" t="s">
        <v>934</v>
      </c>
      <c r="B74" t="s">
        <v>935</v>
      </c>
      <c r="C74" t="s">
        <v>936</v>
      </c>
      <c r="D74" t="s">
        <v>937</v>
      </c>
      <c r="E74" t="s">
        <v>938</v>
      </c>
      <c r="F74" t="s">
        <v>103</v>
      </c>
      <c r="G74" t="s">
        <v>241</v>
      </c>
      <c r="H74" t="s">
        <v>632</v>
      </c>
    </row>
    <row r="75" spans="1:8">
      <c r="A75" t="s">
        <v>499</v>
      </c>
      <c r="B75" t="s">
        <v>939</v>
      </c>
      <c r="C75" t="s">
        <v>940</v>
      </c>
      <c r="D75" t="s">
        <v>941</v>
      </c>
      <c r="E75" t="s">
        <v>942</v>
      </c>
      <c r="F75" t="s">
        <v>103</v>
      </c>
      <c r="G75" t="s">
        <v>241</v>
      </c>
      <c r="H75" t="s">
        <v>632</v>
      </c>
    </row>
    <row r="76" spans="1:8">
      <c r="A76" t="s">
        <v>943</v>
      </c>
      <c r="B76" t="s">
        <v>944</v>
      </c>
      <c r="C76" t="s">
        <v>945</v>
      </c>
      <c r="D76" t="s">
        <v>946</v>
      </c>
      <c r="E76" t="s">
        <v>947</v>
      </c>
      <c r="F76" t="s">
        <v>103</v>
      </c>
      <c r="G76" t="s">
        <v>241</v>
      </c>
      <c r="H76" t="s">
        <v>948</v>
      </c>
    </row>
    <row r="77" spans="1:8">
      <c r="A77" t="s">
        <v>270</v>
      </c>
      <c r="B77" t="s">
        <v>949</v>
      </c>
      <c r="C77" t="s">
        <v>950</v>
      </c>
      <c r="D77" t="s">
        <v>951</v>
      </c>
      <c r="E77" t="s">
        <v>952</v>
      </c>
      <c r="F77" t="s">
        <v>103</v>
      </c>
      <c r="G77" t="s">
        <v>241</v>
      </c>
      <c r="H77" t="s">
        <v>953</v>
      </c>
    </row>
    <row r="78" spans="1:8">
      <c r="A78" t="s">
        <v>954</v>
      </c>
      <c r="B78" t="s">
        <v>955</v>
      </c>
      <c r="C78" t="s">
        <v>956</v>
      </c>
      <c r="D78" t="s">
        <v>957</v>
      </c>
      <c r="E78" t="s">
        <v>958</v>
      </c>
      <c r="F78" t="s">
        <v>103</v>
      </c>
      <c r="G78" t="s">
        <v>241</v>
      </c>
      <c r="H78" t="s">
        <v>632</v>
      </c>
    </row>
    <row r="79" spans="1:8">
      <c r="A79" t="s">
        <v>350</v>
      </c>
      <c r="B79" t="s">
        <v>959</v>
      </c>
      <c r="C79" t="s">
        <v>352</v>
      </c>
      <c r="D79" t="s">
        <v>960</v>
      </c>
      <c r="E79" t="s">
        <v>961</v>
      </c>
      <c r="F79" t="s">
        <v>103</v>
      </c>
      <c r="G79" t="s">
        <v>241</v>
      </c>
      <c r="H79" t="s">
        <v>632</v>
      </c>
    </row>
    <row r="80" spans="1:8">
      <c r="A80" t="s">
        <v>559</v>
      </c>
      <c r="B80" t="s">
        <v>560</v>
      </c>
      <c r="C80" t="s">
        <v>962</v>
      </c>
      <c r="D80" t="s">
        <v>963</v>
      </c>
      <c r="E80" t="s">
        <v>964</v>
      </c>
      <c r="F80" t="s">
        <v>103</v>
      </c>
      <c r="G80" t="s">
        <v>241</v>
      </c>
      <c r="H80" t="s">
        <v>632</v>
      </c>
    </row>
    <row r="81" spans="1:8">
      <c r="A81" t="s">
        <v>965</v>
      </c>
      <c r="B81" t="s">
        <v>966</v>
      </c>
      <c r="C81" t="s">
        <v>967</v>
      </c>
      <c r="D81" t="s">
        <v>968</v>
      </c>
      <c r="E81" t="s">
        <v>969</v>
      </c>
      <c r="F81" t="s">
        <v>103</v>
      </c>
      <c r="G81" t="s">
        <v>241</v>
      </c>
      <c r="H81" t="s">
        <v>632</v>
      </c>
    </row>
    <row r="82" spans="1:8">
      <c r="A82" t="s">
        <v>244</v>
      </c>
      <c r="B82" t="s">
        <v>970</v>
      </c>
      <c r="C82" t="s">
        <v>246</v>
      </c>
      <c r="D82" t="s">
        <v>971</v>
      </c>
      <c r="E82" t="s">
        <v>972</v>
      </c>
      <c r="F82" t="s">
        <v>103</v>
      </c>
      <c r="G82" t="s">
        <v>241</v>
      </c>
      <c r="H82" t="s">
        <v>973</v>
      </c>
    </row>
    <row r="83" spans="1:8">
      <c r="A83" t="s">
        <v>974</v>
      </c>
      <c r="B83" t="s">
        <v>975</v>
      </c>
      <c r="C83" t="s">
        <v>976</v>
      </c>
      <c r="D83" t="s">
        <v>977</v>
      </c>
      <c r="E83" t="s">
        <v>978</v>
      </c>
      <c r="F83" t="s">
        <v>103</v>
      </c>
      <c r="G83" t="s">
        <v>241</v>
      </c>
      <c r="H83" t="s">
        <v>632</v>
      </c>
    </row>
    <row r="84" spans="1:8">
      <c r="A84" t="s">
        <v>610</v>
      </c>
      <c r="B84" t="s">
        <v>979</v>
      </c>
      <c r="C84" t="s">
        <v>980</v>
      </c>
      <c r="D84" t="s">
        <v>981</v>
      </c>
      <c r="E84" t="s">
        <v>103</v>
      </c>
      <c r="F84" t="s">
        <v>103</v>
      </c>
      <c r="G84" t="s">
        <v>241</v>
      </c>
      <c r="H84" t="s">
        <v>632</v>
      </c>
    </row>
    <row r="85" spans="1:8">
      <c r="A85" t="s">
        <v>255</v>
      </c>
      <c r="B85" t="s">
        <v>256</v>
      </c>
      <c r="C85" t="s">
        <v>257</v>
      </c>
      <c r="D85" t="s">
        <v>258</v>
      </c>
      <c r="E85" t="s">
        <v>982</v>
      </c>
      <c r="F85" t="s">
        <v>103</v>
      </c>
      <c r="G85" t="s">
        <v>241</v>
      </c>
      <c r="H85" t="s">
        <v>632</v>
      </c>
    </row>
    <row r="86" spans="1:8">
      <c r="A86" t="s">
        <v>483</v>
      </c>
      <c r="B86" t="s">
        <v>983</v>
      </c>
      <c r="C86" t="s">
        <v>984</v>
      </c>
      <c r="D86" t="s">
        <v>985</v>
      </c>
      <c r="E86" t="s">
        <v>986</v>
      </c>
      <c r="F86" t="s">
        <v>103</v>
      </c>
      <c r="G86" t="s">
        <v>241</v>
      </c>
      <c r="H86" t="s">
        <v>632</v>
      </c>
    </row>
    <row r="87" spans="1:8">
      <c r="A87" t="s">
        <v>987</v>
      </c>
      <c r="B87" t="s">
        <v>988</v>
      </c>
      <c r="C87" t="s">
        <v>881</v>
      </c>
      <c r="D87" t="s">
        <v>882</v>
      </c>
      <c r="E87" t="s">
        <v>989</v>
      </c>
      <c r="F87" t="s">
        <v>103</v>
      </c>
      <c r="G87" t="s">
        <v>241</v>
      </c>
      <c r="H87" t="s">
        <v>884</v>
      </c>
    </row>
    <row r="88" spans="1:8">
      <c r="A88" t="s">
        <v>990</v>
      </c>
      <c r="B88" t="s">
        <v>991</v>
      </c>
      <c r="C88" t="s">
        <v>992</v>
      </c>
      <c r="D88" t="s">
        <v>993</v>
      </c>
      <c r="E88" t="s">
        <v>994</v>
      </c>
      <c r="F88" t="s">
        <v>103</v>
      </c>
      <c r="G88" t="s">
        <v>241</v>
      </c>
      <c r="H88" t="s">
        <v>632</v>
      </c>
    </row>
    <row r="89" spans="1:8">
      <c r="A89" t="s">
        <v>620</v>
      </c>
      <c r="B89" t="s">
        <v>995</v>
      </c>
      <c r="C89" t="s">
        <v>622</v>
      </c>
      <c r="D89" t="s">
        <v>996</v>
      </c>
      <c r="E89" t="s">
        <v>997</v>
      </c>
      <c r="F89" t="s">
        <v>103</v>
      </c>
      <c r="G89" t="s">
        <v>241</v>
      </c>
      <c r="H89" t="s">
        <v>632</v>
      </c>
    </row>
    <row r="90" spans="1:8">
      <c r="A90" t="s">
        <v>998</v>
      </c>
      <c r="B90" t="s">
        <v>999</v>
      </c>
      <c r="C90" t="s">
        <v>1000</v>
      </c>
      <c r="D90" t="s">
        <v>1001</v>
      </c>
      <c r="E90" t="s">
        <v>1002</v>
      </c>
      <c r="F90" t="s">
        <v>103</v>
      </c>
      <c r="G90" t="s">
        <v>241</v>
      </c>
      <c r="H90" t="s">
        <v>1003</v>
      </c>
    </row>
    <row r="91" spans="1:8">
      <c r="A91" t="s">
        <v>1004</v>
      </c>
      <c r="B91" t="s">
        <v>1005</v>
      </c>
      <c r="C91" t="s">
        <v>1006</v>
      </c>
      <c r="D91" t="s">
        <v>1007</v>
      </c>
      <c r="E91" t="s">
        <v>1008</v>
      </c>
      <c r="F91" t="s">
        <v>103</v>
      </c>
      <c r="G91" t="s">
        <v>241</v>
      </c>
      <c r="H91" t="s">
        <v>632</v>
      </c>
    </row>
    <row r="92" spans="1:8">
      <c r="A92" t="s">
        <v>1009</v>
      </c>
      <c r="B92" t="s">
        <v>1010</v>
      </c>
      <c r="C92" t="s">
        <v>1011</v>
      </c>
      <c r="D92" t="s">
        <v>1012</v>
      </c>
      <c r="E92" t="s">
        <v>665</v>
      </c>
      <c r="F92" t="s">
        <v>103</v>
      </c>
      <c r="G92" t="s">
        <v>241</v>
      </c>
      <c r="H92" t="s">
        <v>632</v>
      </c>
    </row>
    <row r="93" spans="1:8">
      <c r="A93" t="s">
        <v>1013</v>
      </c>
      <c r="B93" t="s">
        <v>1014</v>
      </c>
      <c r="C93" t="s">
        <v>1015</v>
      </c>
      <c r="D93" t="s">
        <v>1016</v>
      </c>
      <c r="E93" t="s">
        <v>1017</v>
      </c>
      <c r="F93" t="s">
        <v>103</v>
      </c>
      <c r="G93" t="s">
        <v>241</v>
      </c>
      <c r="H93" t="s">
        <v>632</v>
      </c>
    </row>
    <row r="94" spans="1:8">
      <c r="A94" t="s">
        <v>1018</v>
      </c>
      <c r="B94" t="s">
        <v>1019</v>
      </c>
      <c r="C94" t="s">
        <v>1020</v>
      </c>
      <c r="D94" t="s">
        <v>1021</v>
      </c>
      <c r="E94" t="s">
        <v>1022</v>
      </c>
      <c r="F94" t="s">
        <v>103</v>
      </c>
      <c r="G94" t="s">
        <v>241</v>
      </c>
      <c r="H94" t="s">
        <v>632</v>
      </c>
    </row>
    <row r="95" spans="1:8">
      <c r="A95" t="s">
        <v>1023</v>
      </c>
      <c r="B95" t="s">
        <v>1024</v>
      </c>
      <c r="C95" t="s">
        <v>1025</v>
      </c>
      <c r="D95" t="s">
        <v>1026</v>
      </c>
      <c r="E95" t="s">
        <v>1027</v>
      </c>
      <c r="F95" t="s">
        <v>103</v>
      </c>
      <c r="G95" t="s">
        <v>241</v>
      </c>
      <c r="H95" t="s">
        <v>632</v>
      </c>
    </row>
    <row r="96" spans="1:8">
      <c r="A96" t="s">
        <v>399</v>
      </c>
      <c r="B96" t="s">
        <v>400</v>
      </c>
      <c r="C96" t="s">
        <v>401</v>
      </c>
      <c r="D96" t="s">
        <v>1028</v>
      </c>
      <c r="E96" t="s">
        <v>1029</v>
      </c>
      <c r="F96" t="s">
        <v>103</v>
      </c>
      <c r="G96" t="s">
        <v>241</v>
      </c>
      <c r="H96" t="s">
        <v>632</v>
      </c>
    </row>
    <row r="97" spans="1:8">
      <c r="A97" t="s">
        <v>494</v>
      </c>
      <c r="B97" t="s">
        <v>1030</v>
      </c>
      <c r="C97" t="s">
        <v>1031</v>
      </c>
      <c r="D97" t="s">
        <v>1032</v>
      </c>
      <c r="E97" t="s">
        <v>1033</v>
      </c>
      <c r="F97" t="s">
        <v>103</v>
      </c>
      <c r="G97" t="s">
        <v>241</v>
      </c>
      <c r="H97" t="s">
        <v>632</v>
      </c>
    </row>
    <row r="98" spans="1:8">
      <c r="A98" t="s">
        <v>1034</v>
      </c>
      <c r="B98" t="s">
        <v>1035</v>
      </c>
      <c r="C98" t="s">
        <v>1036</v>
      </c>
      <c r="D98" t="s">
        <v>1037</v>
      </c>
      <c r="E98" t="s">
        <v>1038</v>
      </c>
      <c r="F98" t="s">
        <v>103</v>
      </c>
      <c r="G98" t="s">
        <v>241</v>
      </c>
      <c r="H98" t="s">
        <v>632</v>
      </c>
    </row>
    <row r="99" spans="1:8">
      <c r="A99" t="s">
        <v>345</v>
      </c>
      <c r="B99" t="s">
        <v>1039</v>
      </c>
      <c r="C99" t="s">
        <v>347</v>
      </c>
      <c r="E99" t="s">
        <v>1040</v>
      </c>
      <c r="F99" t="s">
        <v>103</v>
      </c>
      <c r="G99" t="s">
        <v>241</v>
      </c>
      <c r="H99" t="s">
        <v>632</v>
      </c>
    </row>
    <row r="100" spans="1:8">
      <c r="A100" t="s">
        <v>574</v>
      </c>
      <c r="B100" t="s">
        <v>799</v>
      </c>
      <c r="C100" t="s">
        <v>800</v>
      </c>
      <c r="E100" t="s">
        <v>103</v>
      </c>
      <c r="F100" t="s">
        <v>103</v>
      </c>
      <c r="G100" t="s">
        <v>241</v>
      </c>
      <c r="H100" t="s">
        <v>632</v>
      </c>
    </row>
    <row r="101" spans="1:8">
      <c r="A101" t="s">
        <v>805</v>
      </c>
      <c r="B101" t="s">
        <v>1041</v>
      </c>
      <c r="C101" t="s">
        <v>1042</v>
      </c>
      <c r="D101" t="s">
        <v>808</v>
      </c>
      <c r="E101" t="s">
        <v>1043</v>
      </c>
      <c r="F101" t="s">
        <v>103</v>
      </c>
      <c r="G101" t="s">
        <v>241</v>
      </c>
      <c r="H101" t="s">
        <v>632</v>
      </c>
    </row>
    <row r="102" spans="1:8">
      <c r="A102" t="s">
        <v>586</v>
      </c>
      <c r="B102" t="s">
        <v>1044</v>
      </c>
      <c r="C102" t="s">
        <v>588</v>
      </c>
      <c r="D102" t="s">
        <v>1045</v>
      </c>
      <c r="E102" t="s">
        <v>1046</v>
      </c>
      <c r="F102" t="s">
        <v>103</v>
      </c>
      <c r="G102" t="s">
        <v>241</v>
      </c>
      <c r="H102" t="s">
        <v>632</v>
      </c>
    </row>
    <row r="103" spans="1:8">
      <c r="A103" t="s">
        <v>516</v>
      </c>
      <c r="B103" t="s">
        <v>517</v>
      </c>
      <c r="C103" t="s">
        <v>518</v>
      </c>
      <c r="D103" t="s">
        <v>1047</v>
      </c>
      <c r="E103" t="s">
        <v>1048</v>
      </c>
      <c r="F103" t="s">
        <v>103</v>
      </c>
      <c r="G103" t="s">
        <v>241</v>
      </c>
      <c r="H103" t="s">
        <v>632</v>
      </c>
    </row>
    <row r="104" spans="1:8">
      <c r="A104" t="s">
        <v>1049</v>
      </c>
      <c r="B104" t="s">
        <v>1050</v>
      </c>
      <c r="C104" t="s">
        <v>1051</v>
      </c>
      <c r="D104" t="s">
        <v>1052</v>
      </c>
      <c r="E104" t="s">
        <v>1053</v>
      </c>
      <c r="F104" t="s">
        <v>103</v>
      </c>
      <c r="G104" t="s">
        <v>241</v>
      </c>
      <c r="H104" t="s">
        <v>632</v>
      </c>
    </row>
    <row r="105" spans="1:8">
      <c r="A105" t="s">
        <v>1054</v>
      </c>
      <c r="B105" t="s">
        <v>1055</v>
      </c>
      <c r="C105" t="s">
        <v>1056</v>
      </c>
      <c r="D105" t="s">
        <v>1057</v>
      </c>
      <c r="E105" t="s">
        <v>1058</v>
      </c>
      <c r="F105" t="s">
        <v>103</v>
      </c>
      <c r="G105" t="s">
        <v>241</v>
      </c>
      <c r="H105" t="s">
        <v>1059</v>
      </c>
    </row>
    <row r="106" spans="1:8">
      <c r="A106" t="s">
        <v>315</v>
      </c>
      <c r="B106" t="s">
        <v>1060</v>
      </c>
      <c r="C106" t="s">
        <v>317</v>
      </c>
      <c r="D106" t="s">
        <v>1061</v>
      </c>
      <c r="E106" t="s">
        <v>1062</v>
      </c>
      <c r="F106" t="s">
        <v>103</v>
      </c>
      <c r="G106" t="s">
        <v>241</v>
      </c>
      <c r="H106" t="s">
        <v>632</v>
      </c>
    </row>
    <row r="107" spans="1:8">
      <c r="A107" t="s">
        <v>370</v>
      </c>
      <c r="B107" t="s">
        <v>1063</v>
      </c>
      <c r="C107" t="s">
        <v>638</v>
      </c>
      <c r="D107" t="s">
        <v>1064</v>
      </c>
      <c r="E107" t="s">
        <v>1065</v>
      </c>
      <c r="F107" t="s">
        <v>103</v>
      </c>
      <c r="G107" t="s">
        <v>241</v>
      </c>
      <c r="H107" t="s">
        <v>632</v>
      </c>
    </row>
    <row r="108" spans="1:8">
      <c r="A108" t="s">
        <v>1066</v>
      </c>
      <c r="B108" t="s">
        <v>1067</v>
      </c>
      <c r="C108" t="s">
        <v>1068</v>
      </c>
      <c r="D108" t="s">
        <v>1069</v>
      </c>
      <c r="E108" t="s">
        <v>1070</v>
      </c>
      <c r="F108" t="s">
        <v>103</v>
      </c>
      <c r="G108" t="s">
        <v>241</v>
      </c>
      <c r="H108" t="s">
        <v>632</v>
      </c>
    </row>
    <row r="109" spans="1:8">
      <c r="A109" t="s">
        <v>309</v>
      </c>
      <c r="B109" t="s">
        <v>1071</v>
      </c>
      <c r="C109" t="s">
        <v>311</v>
      </c>
      <c r="D109" t="s">
        <v>312</v>
      </c>
      <c r="E109" t="s">
        <v>1072</v>
      </c>
      <c r="F109" t="s">
        <v>103</v>
      </c>
      <c r="G109" t="s">
        <v>241</v>
      </c>
      <c r="H109" t="s">
        <v>632</v>
      </c>
    </row>
    <row r="110" spans="1:8">
      <c r="A110" t="s">
        <v>1073</v>
      </c>
      <c r="B110" t="s">
        <v>1074</v>
      </c>
      <c r="C110" t="s">
        <v>1075</v>
      </c>
      <c r="D110" t="s">
        <v>1076</v>
      </c>
      <c r="E110" t="s">
        <v>1077</v>
      </c>
      <c r="F110" t="s">
        <v>103</v>
      </c>
      <c r="G110" t="s">
        <v>241</v>
      </c>
      <c r="H110" t="s">
        <v>632</v>
      </c>
    </row>
    <row r="111" spans="1:8">
      <c r="A111" t="s">
        <v>1078</v>
      </c>
      <c r="B111" t="s">
        <v>1079</v>
      </c>
      <c r="C111" t="s">
        <v>1080</v>
      </c>
      <c r="D111" t="s">
        <v>1081</v>
      </c>
      <c r="E111" t="s">
        <v>1082</v>
      </c>
      <c r="F111" t="s">
        <v>103</v>
      </c>
      <c r="G111" t="s">
        <v>241</v>
      </c>
      <c r="H111" t="s">
        <v>1083</v>
      </c>
    </row>
    <row r="112" spans="1:8">
      <c r="A112" t="s">
        <v>1084</v>
      </c>
      <c r="B112" t="s">
        <v>1085</v>
      </c>
      <c r="C112" t="s">
        <v>1086</v>
      </c>
      <c r="D112" t="s">
        <v>1087</v>
      </c>
      <c r="E112" t="s">
        <v>1088</v>
      </c>
      <c r="F112" t="s">
        <v>103</v>
      </c>
      <c r="G112" t="s">
        <v>241</v>
      </c>
      <c r="H112" t="s">
        <v>632</v>
      </c>
    </row>
    <row r="113" spans="1:8">
      <c r="A113" t="s">
        <v>1089</v>
      </c>
      <c r="B113" t="s">
        <v>944</v>
      </c>
      <c r="C113" t="s">
        <v>687</v>
      </c>
      <c r="D113" t="s">
        <v>688</v>
      </c>
      <c r="E113" t="s">
        <v>947</v>
      </c>
      <c r="F113" t="s">
        <v>103</v>
      </c>
      <c r="G113" t="s">
        <v>241</v>
      </c>
      <c r="H113" t="s">
        <v>690</v>
      </c>
    </row>
    <row r="114" spans="1:8">
      <c r="A114" t="s">
        <v>542</v>
      </c>
      <c r="B114" t="s">
        <v>543</v>
      </c>
      <c r="C114" t="s">
        <v>1090</v>
      </c>
      <c r="D114" t="s">
        <v>1091</v>
      </c>
      <c r="E114" t="s">
        <v>1092</v>
      </c>
      <c r="F114" t="s">
        <v>103</v>
      </c>
      <c r="G114" t="s">
        <v>241</v>
      </c>
      <c r="H114" t="s">
        <v>632</v>
      </c>
    </row>
    <row r="115" spans="1:8">
      <c r="A115" t="s">
        <v>1093</v>
      </c>
      <c r="B115" t="s">
        <v>1094</v>
      </c>
      <c r="C115" t="s">
        <v>332</v>
      </c>
      <c r="E115" t="s">
        <v>1095</v>
      </c>
      <c r="F115" t="s">
        <v>103</v>
      </c>
      <c r="G115" t="s">
        <v>241</v>
      </c>
      <c r="H115" t="s">
        <v>632</v>
      </c>
    </row>
  </sheetData>
  <pageMargins left="0.7" right="0.7" top="0.75" bottom="0.75" header="0.3" footer="0.3"/>
  <pageSetup orientation="portrait" useFirstPageNumber="1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13</vt:i4>
      </vt:variant>
    </vt:vector>
  </HeadingPairs>
  <TitlesOfParts>
    <vt:vector size="20" baseType="lpstr">
      <vt:lpstr>Portada</vt:lpstr>
      <vt:lpstr>Resultados</vt:lpstr>
      <vt:lpstr>Calculos</vt:lpstr>
      <vt:lpstr>Patrones</vt:lpstr>
      <vt:lpstr>CMC</vt:lpstr>
      <vt:lpstr>AG-ADM-F10-00</vt:lpstr>
      <vt:lpstr>BD_Clientes</vt:lpstr>
      <vt:lpstr>Portada!Área_de_impresión</vt:lpstr>
      <vt:lpstr>Resultados!Área_de_impresión</vt:lpstr>
      <vt:lpstr>Cliente</vt:lpstr>
      <vt:lpstr>Contacto</vt:lpstr>
      <vt:lpstr>Correo</vt:lpstr>
      <vt:lpstr>Domicilio</vt:lpstr>
      <vt:lpstr>Nombre</vt:lpstr>
      <vt:lpstr>Nominal</vt:lpstr>
      <vt:lpstr>Tel</vt:lpstr>
      <vt:lpstr>Valores</vt:lpstr>
      <vt:lpstr>Valores1</vt:lpstr>
      <vt:lpstr>valores3</vt:lpstr>
      <vt:lpstr>Valoresss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2020-10-01T19:32:47Z</dcterms:created>
  <dcterms:modified xsi:type="dcterms:W3CDTF">2026-02-17T14:56:35Z</dcterms:modified>
</cp:coreProperties>
</file>